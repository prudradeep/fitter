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F:\Dr Transition\kb\additional\"/>
    </mc:Choice>
  </mc:AlternateContent>
  <xr:revisionPtr revIDLastSave="0" documentId="13_ncr:1_{EBF1D399-81B8-4E78-A326-E329AB253DBD}" xr6:coauthVersionLast="47" xr6:coauthVersionMax="47" xr10:uidLastSave="{00000000-0000-0000-0000-000000000000}"/>
  <bookViews>
    <workbookView xWindow="-110" yWindow="-110" windowWidth="25820" windowHeight="15500" xr2:uid="{0A7FDD90-5045-4D28-8047-89EB9EEE2020}"/>
  </bookViews>
  <sheets>
    <sheet name="Sheet1" sheetId="2" r:id="rId1"/>
  </sheets>
  <definedNames>
    <definedName name="_xlnm._FilterDatabase" localSheetId="0" hidden="1">Sheet1!$A$1:$F$80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0" i="2" l="1"/>
  <c r="H15" i="2"/>
  <c r="H12" i="2"/>
  <c r="H13" i="2"/>
  <c r="H3" i="2"/>
  <c r="H4" i="2"/>
  <c r="H5" i="2"/>
  <c r="H6" i="2"/>
  <c r="H7" i="2"/>
  <c r="H8" i="2"/>
  <c r="H9" i="2"/>
  <c r="H11" i="2"/>
  <c r="H14"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D2" authorId="0" shapeId="0" xr:uid="{09E37707-DD10-4F69-845E-C18C46304FF0}">
      <text>
        <r>
          <rPr>
            <sz val="11"/>
            <color theme="1"/>
            <rFont val="Calibri"/>
            <family val="2"/>
            <scheme val="minor"/>
          </rPr>
          <t>Built from the publisher's standard URL pattern; not opened directly - please spot-check. Consolidated EnWG.</t>
        </r>
      </text>
    </comment>
    <comment ref="D3" authorId="0" shapeId="0" xr:uid="{CA8C3103-11A5-471F-A689-1EB2E31760C2}">
      <text>
        <r>
          <rPr>
            <sz val="11"/>
            <color theme="1"/>
            <rFont val="Calibri"/>
            <family val="2"/>
            <scheme val="minor"/>
          </rPr>
          <t>Built from the publisher's standard URL pattern; not opened directly - please spot-check. Electricity Tax Act (StromStG), consolidated.</t>
        </r>
      </text>
    </comment>
    <comment ref="D4" authorId="0" shapeId="0" xr:uid="{6674CA94-8B40-450A-988E-42AD2137CDE6}">
      <text>
        <r>
          <rPr>
            <sz val="11"/>
            <color theme="1"/>
            <rFont val="Calibri"/>
            <family val="2"/>
            <scheme val="minor"/>
          </rPr>
          <t>Link seen in search results. Representative example: NRW Citizens' Energy Act (row covers several state laws).</t>
        </r>
      </text>
    </comment>
    <comment ref="D5" authorId="0" shapeId="0" xr:uid="{82895287-8A46-4EB3-B5A1-EC3772ED28DE}">
      <text>
        <r>
          <rPr>
            <sz val="11"/>
            <color theme="1"/>
            <rFont val="Calibri"/>
            <family val="2"/>
            <scheme val="minor"/>
          </rPr>
          <t>Link seen in search results. BEG EM funding guideline, BAnz AT 29.12.2023 (a newer 17.07.2026 version exists; official PDF not found).</t>
        </r>
      </text>
    </comment>
    <comment ref="D6" authorId="0" shapeId="0" xr:uid="{239F4705-FBBF-4155-BBE5-8E41E2AAAAF5}">
      <text>
        <r>
          <rPr>
            <sz val="11"/>
            <color theme="1"/>
            <rFont val="Calibri"/>
            <family val="2"/>
            <scheme val="minor"/>
          </rPr>
          <t>Built from the publisher's standard URL pattern; not opened directly - please spot-check. Full German Civil Code; the modernisation levy is §559.</t>
        </r>
      </text>
    </comment>
    <comment ref="D7" authorId="0" shapeId="0" xr:uid="{9092CB4E-DD87-4754-A35B-FFA470D994BB}">
      <text>
        <r>
          <rPr>
            <sz val="11"/>
            <color theme="1"/>
            <rFont val="Calibri"/>
            <family val="2"/>
            <scheme val="minor"/>
          </rPr>
          <t>Built from the publisher's standard URL pattern; not opened directly - please spot-check. Full Income Tax Act; energy-renovation tax relief is §35c.</t>
        </r>
      </text>
    </comment>
    <comment ref="D8" authorId="0" shapeId="0" xr:uid="{8CED8B42-0913-4BAF-A885-26182E0BE19D}">
      <text>
        <r>
          <rPr>
            <sz val="11"/>
            <color theme="1"/>
            <rFont val="Calibri"/>
            <family val="2"/>
            <scheme val="minor"/>
          </rPr>
          <t>Built from the publisher's standard URL pattern; not opened directly - please spot-check. CO2 Cost Allocation Act.</t>
        </r>
      </text>
    </comment>
    <comment ref="D9" authorId="0" shapeId="0" xr:uid="{E65929B4-5033-4CCD-A83C-05048CB4DB68}">
      <text>
        <r>
          <rPr>
            <sz val="11"/>
            <color theme="1"/>
            <rFont val="Calibri"/>
            <family val="2"/>
            <scheme val="minor"/>
          </rPr>
          <t>Built from the publisher's standard URL pattern; not opened directly - please spot-check. Full German Civil Code; heat-supply costs are §556c.</t>
        </r>
      </text>
    </comment>
    <comment ref="D10" authorId="0" shapeId="0" xr:uid="{F5FAC7D6-CC6A-42C1-85BF-0C07B000E395}">
      <text>
        <r>
          <rPr>
            <sz val="11"/>
            <rFont val="Carlito"/>
          </rPr>
          <t>Direct PDF link found in search results. Final updated NECP 2021-2030 (Aug 2024), English. German version: same link with _de.</t>
        </r>
      </text>
    </comment>
    <comment ref="D11" authorId="0" shapeId="0" xr:uid="{A632FA71-FAA3-4976-992D-9EF4E5E18B0A}">
      <text>
        <r>
          <rPr>
            <sz val="11"/>
            <rFont val="Carlito"/>
          </rPr>
          <t>Built from the publisher's standard PDF URL pattern (pattern confirmed on other documents); not opened directly - please spot-check. Consolidated EEG 2023 (gesetze-im-internet.de). Same URL as earlier PDF column.</t>
        </r>
      </text>
    </comment>
    <comment ref="D12" authorId="0" shapeId="0" xr:uid="{D15C6D15-094B-48F6-B3CE-83EA83899870}">
      <text>
        <r>
          <rPr>
            <sz val="11"/>
            <rFont val="Carlito"/>
          </rPr>
          <t>Built from the publisher's standard PDF URL pattern (pattern confirmed on other documents); not opened directly - please spot-check. Enacted law, BGBl. 2024 I Nr. 151 (in force 16.05.2024). Replaces the BMWK summary as the policy document.</t>
        </r>
      </text>
    </comment>
    <comment ref="D13" authorId="0" shapeId="0" xr:uid="{7C6248C4-6F1B-4E76-AFFF-E9E0F8A106A7}">
      <text>
        <r>
          <rPr>
            <sz val="11"/>
            <rFont val="Carlito"/>
          </rPr>
          <t>Built from the publisher's standard PDF URL pattern (pattern confirmed on other documents); not opened directly - please spot-check. Enacted law, BGBl. 2023 I Nr. 133 (22.05.2023). Verified scan of the same gazette: https://epflicht.ulb.uni-bonn.de/download/pdf/775275</t>
        </r>
      </text>
    </comment>
    <comment ref="D14" authorId="0" shapeId="0" xr:uid="{4F270FE6-455D-475A-AF90-E3D41CF0EDB6}">
      <text>
        <r>
          <rPr>
            <sz val="11"/>
            <rFont val="Carlito"/>
          </rPr>
          <t>Built from the publisher's standard PDF URL pattern (pattern confirmed on other documents); not opened directly - please spot-check. Consolidated EnWG.</t>
        </r>
      </text>
    </comment>
    <comment ref="D15" authorId="0" shapeId="0" xr:uid="{89F84E70-4A97-4E38-A1F5-8126A7485411}">
      <text>
        <r>
          <rPr>
            <sz val="11"/>
            <rFont val="Carlito"/>
          </rPr>
          <t>Direct PDF link found in search results. Consolidated text valid from 22.05.2026 (Bezirksregierung Arnsberg).</t>
        </r>
      </text>
    </comment>
    <comment ref="D16" authorId="0" shapeId="0" xr:uid="{280662A7-29A5-45BA-A25C-73321C94BB18}">
      <text>
        <r>
          <rPr>
            <sz val="11"/>
            <rFont val="Carlito"/>
          </rPr>
          <t>Direct PDF link found in search results. Original act of 12.06.2024 (REVOSax). Note: amended 10.09.2025; consolidated HTML at revosax.sachsen.de/vorschrift/20864.</t>
        </r>
      </text>
    </comment>
    <comment ref="D17" authorId="0" shapeId="0" xr:uid="{C2F9E7CD-E4A6-42E7-A852-76AC8FBC95C1}">
      <text>
        <r>
          <rPr>
            <sz val="11"/>
            <rFont val="Carlito"/>
          </rPr>
          <t>Direct PDF link found in search results. NOTE: this is the NEW BüGembeteilG M-V (GVOBl. 28.04.2026) that replaced the 2016 law named in the row. No official PDF of the 2016 original was found.</t>
        </r>
      </text>
    </comment>
    <comment ref="D18" authorId="0" shapeId="0" xr:uid="{0BA27891-D32B-413B-ACB5-8BDE169AD307}">
      <text>
        <r>
          <rPr>
            <sz val="11"/>
            <rFont val="Carlito"/>
          </rPr>
          <t>Built from the publisher's standard PDF URL pattern (pattern confirmed on other documents); not opened directly - please spot-check. GVBl. I Nr. 30/2019. Law repealed 28.11.2025, replaced by BbgEESG (GVBl. I Nr. 26/2025): https://www.landesrecht.brandenburg.de/dislservice/public/disl/dokumente/11224/dokument/16894</t>
        </r>
      </text>
    </comment>
    <comment ref="B19" authorId="0" shapeId="0" xr:uid="{4D39CDC8-7172-4B08-A80A-430CBCC6C399}">
      <text>
        <r>
          <rPr>
            <sz val="11"/>
            <color theme="1"/>
            <rFont val="Calibri"/>
            <family val="2"/>
            <scheme val="minor"/>
          </rPr>
          <t>Hungary did not split factsheets by sector. Sectoral focus is "Energy efficiency and Housing"; assigned Housing (social housing refurbishment).</t>
        </r>
      </text>
    </comment>
    <comment ref="D19" authorId="0" shapeId="0" xr:uid="{8D4104DA-0DC7-490A-A23A-045860D78CA0}">
      <text>
        <r>
          <rPr>
            <sz val="11"/>
            <color theme="1"/>
            <rFont val="Calibri"/>
            <family val="2"/>
            <scheme val="minor"/>
          </rPr>
          <t>Link seen in search results. Magyar Közlöny 2024/126 (PDF download) containing Govt. Decree 389/2024 (XII.11.) on the Rural Home Renovation Programme, p. 9029 - the act behind the jogtar link in the factsheet.</t>
        </r>
      </text>
    </comment>
    <comment ref="B20" authorId="0" shapeId="0" xr:uid="{CC38AD26-7938-4573-9546-39F6581DB1C0}">
      <text>
        <r>
          <rPr>
            <sz val="11"/>
            <color theme="1"/>
            <rFont val="Calibri"/>
            <family val="2"/>
            <scheme val="minor"/>
          </rPr>
          <t>Hungary did not split factsheets by sector. Sectoral focus is "Energy efficiency and Housing"; assigned Housing (social housing refurbishment).</t>
        </r>
      </text>
    </comment>
    <comment ref="D20" authorId="0" shapeId="0" xr:uid="{448474D2-CEB1-4C57-B83E-39088D6FA20D}">
      <text>
        <r>
          <rPr>
            <sz val="11"/>
            <color theme="1"/>
            <rFont val="Calibri"/>
            <family val="2"/>
            <scheme val="minor"/>
          </rPr>
          <t>Link seen in search results. Magyar Közlöny 2024/126 (PDF download) containing Govt. Decree 389/2024 (XII.11.) on the Rural Home Renovation Programme, p. 9029 - the act behind the jogtar link in the factsheet.</t>
        </r>
      </text>
    </comment>
    <comment ref="D21" authorId="0" shapeId="0" xr:uid="{D9350F6B-9FDC-44DE-B0E8-B4BA96127453}">
      <text>
        <r>
          <rPr>
            <sz val="11"/>
            <color theme="1"/>
            <rFont val="Calibri"/>
            <family val="2"/>
            <scheme val="minor"/>
          </rPr>
          <t>Link seen in search results. Magyar Közlöny 2019/171 (PDF download) containing Govt. Decree 243/2019 (X.22.), p. 7140, named in the factsheet (e-mobility services).</t>
        </r>
      </text>
    </comment>
    <comment ref="B22" authorId="0" shapeId="0" xr:uid="{0761167D-6FCE-429A-9E21-B31176926A8A}">
      <text>
        <r>
          <rPr>
            <sz val="11"/>
            <color theme="1"/>
            <rFont val="Calibri"/>
            <family val="2"/>
            <scheme val="minor"/>
          </rPr>
          <t>Hungary did not split factsheets by sector. Focus is digital inclusion; assigned Transport because Hungary included it as indirectly linked to transport (see note in the Digital Citizenship App title).</t>
        </r>
      </text>
    </comment>
    <comment ref="D22" authorId="0" shapeId="0" xr:uid="{647DDD51-89ED-44B4-B15F-A9158C9DF0D7}">
      <text>
        <r>
          <rPr>
            <sz val="11"/>
            <color theme="1"/>
            <rFont val="Calibri"/>
            <family val="2"/>
            <scheme val="minor"/>
          </rPr>
          <t>Link seen in search results. Klebelsberg Centre closing publication for project RRF-1.2.1-2021-2021-00001.</t>
        </r>
      </text>
    </comment>
    <comment ref="D23" authorId="0" shapeId="0" xr:uid="{9E5054B6-C5E4-4F32-91E1-58D30F823E13}">
      <text>
        <r>
          <rPr>
            <sz val="11"/>
            <color theme="1"/>
            <rFont val="Calibri"/>
            <family val="2"/>
            <scheme val="minor"/>
          </rPr>
          <t>No PDF found. Govt. Decree 253/1997 (OTÉK) is only available as HTML on njt.jog.gov.hu (https://njt.jog.gov.hu/jogszabaly/1997-253-20-22); the 1997 gazzette issue is not online as PDF. OTÉK has since been replaced by Govt. Decree 280/2024 (TÉKA).</t>
        </r>
      </text>
    </comment>
    <comment ref="B24" authorId="0" shapeId="0" xr:uid="{23149B0F-C955-46BA-A24C-FE3560D06E39}">
      <text>
        <r>
          <rPr>
            <sz val="11"/>
            <color theme="1"/>
            <rFont val="Calibri"/>
            <family val="2"/>
            <scheme val="minor"/>
          </rPr>
          <t>Hungary did not split factsheets by sector. Focus is digital public administration; assigned Transport because Hungary included it as indirectly linked to transport (see its title note).</t>
        </r>
      </text>
    </comment>
    <comment ref="D24" authorId="0" shapeId="0" xr:uid="{57D59EE4-E23B-4722-A424-E8108945FB8D}">
      <text>
        <r>
          <rPr>
            <sz val="11"/>
            <color theme="1"/>
            <rFont val="Calibri"/>
            <family val="2"/>
            <scheme val="minor"/>
          </rPr>
          <t>Link seen in search results. Act CIII of 2023 on the digital state (text as published 22.12.2023). NON-OFFICIAL host (Jogtár export on a utility company site); the official gazette PDF was not found.</t>
        </r>
      </text>
    </comment>
    <comment ref="D25" authorId="0" shapeId="0" xr:uid="{10E51489-0262-4624-95FB-7A7493528561}">
      <text>
        <r>
          <rPr>
            <sz val="11"/>
            <rFont val="Carlito"/>
          </rPr>
          <t>Direct PDF link found in search results. Final updated NECP (Oct 2024), English. Hungarian: same link with _hu.</t>
        </r>
      </text>
    </comment>
    <comment ref="D26" authorId="0" shapeId="0" xr:uid="{94F4788C-50B8-44DF-965B-8091418C0D6B}">
      <text>
        <r>
          <rPr>
            <sz val="11"/>
            <rFont val="Carlito"/>
          </rPr>
          <t>No direct PDF of the KEHOP Plusz programme document could be found (palyazat.gov.hu serves it through a script-rendered page). Left blank rather than linking a web page.</t>
        </r>
      </text>
    </comment>
    <comment ref="D27" authorId="0" shapeId="0" xr:uid="{6D7AB778-5E38-47A9-89F5-22C44BF7DDCD}">
      <text>
        <r>
          <rPr>
            <sz val="11"/>
            <rFont val="Carlito"/>
          </rPr>
          <t>Direct PDF link found in search results. Magyar Közlöny 2017/168 containing Govt. Decree 299/2017 (X.17.), p. 28304. Download link returns the PDF.</t>
        </r>
      </text>
    </comment>
    <comment ref="D28" authorId="0" shapeId="0" xr:uid="{86010D8A-3BEA-4CD8-A4F4-C99ED974FD9E}">
      <text>
        <r>
          <rPr>
            <sz val="11"/>
            <rFont val="Carlito"/>
          </rPr>
          <t>NKFIH 'palyazati-felhivas' URLs serve the call PDF directly (confirmed on other NKFIH calls). Call 2020-3.1.4-ZFR-EKM.</t>
        </r>
      </text>
    </comment>
    <comment ref="D29" authorId="0" shapeId="0" xr:uid="{91740555-7138-43AE-BD55-DCF9D57639BD}">
      <text>
        <r>
          <rPr>
            <sz val="11"/>
            <rFont val="Carlito"/>
          </rPr>
          <t>Direct PDF link found in search results. Call document, 2nd amendment (06.08.2024).</t>
        </r>
      </text>
    </comment>
    <comment ref="D30" authorId="0" shapeId="0" xr:uid="{29510604-14BD-43BE-954E-BB95DC972A75}">
      <text>
        <r>
          <rPr>
            <sz val="11"/>
            <rFont val="Carlito"/>
          </rPr>
          <t>Direct PDF link found in search results. EU BUILD UP one-stop-shop factsheet on RenoPont. RenoPont is NGO-run; no government policy document exists.</t>
        </r>
      </text>
    </comment>
    <comment ref="D31" authorId="0" shapeId="0" xr:uid="{51A0B6B0-FFC5-4C3E-86CF-140CB3AFB436}">
      <text>
        <r>
          <rPr>
            <sz val="11"/>
            <rFont val="Carlito"/>
          </rPr>
          <t>Direct PDF link found in search results. Magyar Közlöny 2023/171 containing Govt. Decree 518/2023 (XI.30.), p. 9279. Housing loan scheme, not an energy policy.</t>
        </r>
      </text>
    </comment>
    <comment ref="D32" authorId="0" shapeId="0" xr:uid="{0C5A87B3-61E6-443C-92D6-33171E2C8AC0}">
      <text>
        <r>
          <rPr>
            <sz val="11"/>
            <color theme="1"/>
            <rFont val="Calibri"/>
            <family val="2"/>
            <scheme val="minor"/>
          </rPr>
          <t>Link seen in search results. Warmer Homes Scheme guidelines incl. T&amp;Cs (v1.3).</t>
        </r>
      </text>
    </comment>
    <comment ref="D33" authorId="0" shapeId="0" xr:uid="{23055DE2-2AD7-4D9C-9FFA-4ED7CFC7ADD8}">
      <text>
        <r>
          <rPr>
            <sz val="11"/>
            <color theme="1"/>
            <rFont val="Calibri"/>
            <family val="2"/>
            <scheme val="minor"/>
          </rPr>
          <t>Link seen in search results. Communities Energy Grant guidelines, 2024 call.</t>
        </r>
      </text>
    </comment>
    <comment ref="D34" authorId="0" shapeId="0" xr:uid="{43D2BA42-A694-4D0F-944D-2761566385F9}">
      <text>
        <r>
          <rPr>
            <sz val="11"/>
            <color theme="1"/>
            <rFont val="Calibri"/>
            <family val="2"/>
            <scheme val="minor"/>
          </rPr>
          <t>No PDF exists: the Fuel Allowance Operational Guidelines are published only as a web page (https://www.gov.ie/en/publication/e7fcaa-operational-guidelines-fuel-allowance-scheme/). The scheme is administrative and has no statutory instrument.</t>
        </r>
      </text>
    </comment>
    <comment ref="D35" authorId="0" shapeId="0" xr:uid="{70BA209E-0C74-4C91-8859-AFC8EF908ED7}">
      <text>
        <r>
          <rPr>
            <sz val="11"/>
            <color theme="1"/>
            <rFont val="Calibri"/>
            <family val="2"/>
            <scheme val="minor"/>
          </rPr>
          <t>Link seen in search results. Housing for All (full plan) hosted by the Residential Tenancies Board, contains the minimum rental BER commitment. Superseded by the Housing Action Plan in Nov 2025.</t>
        </r>
      </text>
    </comment>
    <comment ref="D36" authorId="0" shapeId="0" xr:uid="{54C024B5-67DB-4E8F-AAB5-D783CA6DEC8F}">
      <text>
        <r>
          <rPr>
            <sz val="11"/>
            <color theme="1"/>
            <rFont val="Calibri"/>
            <family val="2"/>
            <scheme val="minor"/>
          </rPr>
          <t>Link seen in search results. Same scheme as the Energy row.</t>
        </r>
      </text>
    </comment>
    <comment ref="D37" authorId="0" shapeId="0" xr:uid="{B2556C7C-D3BB-49C5-9DE1-BD9CDC4DB4BC}">
      <text>
        <r>
          <rPr>
            <sz val="11"/>
            <color theme="1"/>
            <rFont val="Calibri"/>
            <family val="2"/>
            <scheme val="minor"/>
          </rPr>
          <t>Link seen in search results. Climate Action Plan 2025 (B2 retrofit target).</t>
        </r>
      </text>
    </comment>
    <comment ref="D38" authorId="0" shapeId="0" xr:uid="{15CB8238-AEC9-4B69-AF7C-8E0934754DEE}">
      <text>
        <r>
          <rPr>
            <sz val="11"/>
            <rFont val="Carlito"/>
          </rPr>
          <t>Direct PDF link found in search results. Final updated NECP (July 2024).</t>
        </r>
      </text>
    </comment>
    <comment ref="D39" authorId="0" shapeId="0" xr:uid="{7A2A96C3-B4FC-407E-AF23-794618E674FB}">
      <text>
        <r>
          <rPr>
            <sz val="11"/>
            <rFont val="Carlito"/>
          </rPr>
          <t>Direct PDF link found in search results. CAP25 main report (latest published; CAP26 not yet out).</t>
        </r>
      </text>
    </comment>
    <comment ref="D40" authorId="0" shapeId="0" xr:uid="{C427DF66-A7EB-4B82-90F1-A0E846EB4237}">
      <text>
        <r>
          <rPr>
            <sz val="11"/>
            <rFont val="Carlito"/>
          </rPr>
          <t>Direct PDF link found in search results. DECC 'Micro-generation Support Scheme (MSS)' final scheme design document.</t>
        </r>
      </text>
    </comment>
    <comment ref="D41" authorId="0" shapeId="0" xr:uid="{662152E2-17AB-47A3-97D7-33B0035F98B5}">
      <text>
        <r>
          <rPr>
            <sz val="11"/>
            <rFont val="Carlito"/>
          </rPr>
          <t>Direct PDF link found in search results. SEAI Solar PV Grant Application Guide (scheme rules).</t>
        </r>
      </text>
    </comment>
    <comment ref="D42" authorId="0" shapeId="0" xr:uid="{EACBCA3C-2180-4B23-B822-8BA759744D3E}">
      <text>
        <r>
          <rPr>
            <sz val="11"/>
            <rFont val="Carlito"/>
          </rPr>
          <t>Direct PDF link found in search results. SRESS 1 Application Information Pack. The separate T&amp;Cs PDF link could not be located; the pack references them.</t>
        </r>
      </text>
    </comment>
    <comment ref="D43" authorId="0" shapeId="0" xr:uid="{620DC488-411D-4173-B7A5-435D11ADA902}">
      <text>
        <r>
          <rPr>
            <sz val="11"/>
            <rFont val="Carlito"/>
          </rPr>
          <t>Direct PDF link found in search results. Better Energy Homes Application Guide incl. Terms &amp; Conditions.</t>
        </r>
      </text>
    </comment>
    <comment ref="D44" authorId="0" shapeId="0" xr:uid="{DB12F6EB-AC19-4206-ABF1-4B90BEC67AEF}">
      <text>
        <r>
          <rPr>
            <sz val="11"/>
            <rFont val="Carlito"/>
          </rPr>
          <t>Direct PDF link found in search results. T&amp;Cs v2.0, Sept 2024.</t>
        </r>
      </text>
    </comment>
    <comment ref="D45" authorId="0" shapeId="0" xr:uid="{E61E0C92-6990-4A34-83ED-011972D3A1A9}">
      <text>
        <r>
          <rPr>
            <sz val="11"/>
            <rFont val="Carlito"/>
          </rPr>
          <t>Direct PDF link found in search results. Communities Energy Grant guidelines, 2024 call.</t>
        </r>
      </text>
    </comment>
    <comment ref="C46" authorId="0" shapeId="0" xr:uid="{A6FA559C-8A24-47CF-83A5-96BE0812449A}">
      <text>
        <r>
          <rPr>
            <sz val="11"/>
            <color theme="1"/>
            <rFont val="Calibri"/>
            <family val="2"/>
            <scheme val="minor"/>
          </rPr>
          <t>Italy energy factsheets use a condensed template: no "Limitations or gaps" or "Proposed adaptations" fields. The "Policy description" field is shown under Proposed adaptations.</t>
        </r>
      </text>
    </comment>
    <comment ref="D46" authorId="0" shapeId="0" xr:uid="{26EC0D7C-508C-40F0-83B3-6DBD3AEB1E32}">
      <text>
        <r>
          <rPr>
            <sz val="11"/>
            <color theme="1"/>
            <rFont val="Calibri"/>
            <family val="2"/>
            <scheme val="minor"/>
          </rPr>
          <t>MASE document-library link serving the PDF of the CACER decree (DM 414/2023).</t>
        </r>
      </text>
    </comment>
    <comment ref="C47" authorId="0" shapeId="0" xr:uid="{83849BC5-8A0B-4D24-AC5D-08CC26A55C55}">
      <text>
        <r>
          <rPr>
            <sz val="11"/>
            <color theme="1"/>
            <rFont val="Calibri"/>
            <family val="2"/>
            <scheme val="minor"/>
          </rPr>
          <t>Italy energy factsheets use a condensed template: no "Limitations or gaps" or "Proposed adaptations" fields. The "Policy description" field is shown under Proposed adaptations.</t>
        </r>
      </text>
    </comment>
    <comment ref="D47" authorId="0" shapeId="0" xr:uid="{ACE66348-32A7-4127-ACB3-7BB28F057EBC}">
      <text>
        <r>
          <rPr>
            <sz val="11"/>
            <color theme="1"/>
            <rFont val="Calibri"/>
            <family val="2"/>
            <scheme val="minor"/>
          </rPr>
          <t>Built from the publisher's standard URL pattern; not opened directly - please spot-check. GU n.128 of 19.05.2020, S.O. n.21 with Decree-Law 34/2020 (art.119 Superbonus). Issue details from memory. Inferred link.</t>
        </r>
      </text>
    </comment>
    <comment ref="C48" authorId="0" shapeId="0" xr:uid="{03A9D88E-4198-4085-9304-3033B3A05067}">
      <text>
        <r>
          <rPr>
            <sz val="11"/>
            <color theme="1"/>
            <rFont val="Calibri"/>
            <family val="2"/>
            <scheme val="minor"/>
          </rPr>
          <t>Italy energy factsheets use a condensed template: no "Limitations or gaps" or "Proposed adaptations" fields. The "Policy description" field is shown under Proposed adaptations.</t>
        </r>
      </text>
    </comment>
    <comment ref="D48" authorId="0" shapeId="0" xr:uid="{DA744152-999B-4C4E-A7D7-7EC46B40601F}">
      <text>
        <r>
          <rPr>
            <sz val="11"/>
            <color theme="1"/>
            <rFont val="Calibri"/>
            <family val="2"/>
            <scheme val="minor"/>
          </rPr>
          <t>Built from the publisher's standard URL pattern; not opened directly - please spot-check. Regulation (EU) 2024/1747 (electricity market design). Inferred link.</t>
        </r>
      </text>
    </comment>
    <comment ref="C49" authorId="0" shapeId="0" xr:uid="{4A3E2F7F-5EAF-4285-B201-A740B8DC6B62}">
      <text>
        <r>
          <rPr>
            <sz val="11"/>
            <color theme="1"/>
            <rFont val="Calibri"/>
            <family val="2"/>
            <scheme val="minor"/>
          </rPr>
          <t>Italy energy factsheets use a condensed template: no "Limitations or gaps" or "Proposed adaptations" fields. The "Policy description" field is shown under Proposed adaptations.</t>
        </r>
      </text>
    </comment>
    <comment ref="D49" authorId="0" shapeId="0" xr:uid="{41E92815-67EB-40DB-A1FE-21BBD4A1C3D5}">
      <text>
        <r>
          <rPr>
            <sz val="11"/>
            <color theme="1"/>
            <rFont val="Calibri"/>
            <family val="2"/>
            <scheme val="minor"/>
          </rPr>
          <t>PNIEC 2024. Inferred - the factsheet names no specific existing act.</t>
        </r>
      </text>
    </comment>
    <comment ref="C50" authorId="0" shapeId="0" xr:uid="{DDBC2F79-D55A-42FB-AC01-8201191DAF43}">
      <text>
        <r>
          <rPr>
            <sz val="11"/>
            <color theme="1"/>
            <rFont val="Calibri"/>
            <family val="2"/>
            <scheme val="minor"/>
          </rPr>
          <t>Italy energy factsheets use a condensed template: no "Limitations or gaps" or "Proposed adaptations" fields. The "Policy description" field is shown under Proposed adaptations.</t>
        </r>
      </text>
    </comment>
    <comment ref="D50" authorId="0" shapeId="0" xr:uid="{4D6F3EDD-1CA9-4A80-8AD5-A6A74CD1869F}">
      <text>
        <r>
          <rPr>
            <sz val="11"/>
            <color theme="1"/>
            <rFont val="Calibri"/>
            <family val="2"/>
            <scheme val="minor"/>
          </rPr>
          <t>PNIEC 2024. Inferred - the factsheet names no specific existing act.</t>
        </r>
      </text>
    </comment>
    <comment ref="C51" authorId="0" shapeId="0" xr:uid="{333B9BC9-BA11-4610-A8D7-50C91C291AE9}">
      <text>
        <r>
          <rPr>
            <sz val="11"/>
            <color theme="1"/>
            <rFont val="Calibri"/>
            <family val="2"/>
            <scheme val="minor"/>
          </rPr>
          <t>Italy energy factsheets use a condensed template: no "Limitations or gaps" or "Proposed adaptations" fields. The "Policy description" field is shown under Proposed adaptations.</t>
        </r>
      </text>
    </comment>
    <comment ref="D51" authorId="0" shapeId="0" xr:uid="{7DCACA42-AC3C-4F0B-8CC6-D59CEBE56563}">
      <text>
        <r>
          <rPr>
            <sz val="11"/>
            <color theme="1"/>
            <rFont val="Calibri"/>
            <family val="2"/>
            <scheme val="minor"/>
          </rPr>
          <t>PNIEC 2024. Inferred - the factsheet names no specific existing act.</t>
        </r>
      </text>
    </comment>
    <comment ref="D52" authorId="0" shapeId="0" xr:uid="{C61C3A1F-B3A6-4C26-9DB6-6F1CC1656B68}">
      <text>
        <r>
          <rPr>
            <sz val="11"/>
            <color theme="1"/>
            <rFont val="Calibri"/>
            <family val="2"/>
            <scheme val="minor"/>
          </rPr>
          <t>Built from the publisher's standard URL pattern; not opened directly - please spot-check. GU n.114 of 17.05.2022 with Decree-Law 50/2022 (Transport Bonus). Issue details from memory.</t>
        </r>
      </text>
    </comment>
    <comment ref="D53" authorId="0" shapeId="0" xr:uid="{3F49A8D3-DDB8-44CF-AD99-6F26DA8532BC}">
      <text>
        <r>
          <rPr>
            <sz val="11"/>
            <color theme="1"/>
            <rFont val="Calibri"/>
            <family val="2"/>
            <scheme val="minor"/>
          </rPr>
          <t>Built from the publisher's standard URL pattern; not opened directly - please spot-check. GU n.302 of 29.12.2012, S.O. n.212 with Law 228/2012 (LPT Fund, art.1 para.301). Issue details from memory.</t>
        </r>
      </text>
    </comment>
    <comment ref="D54" authorId="0" shapeId="0" xr:uid="{AE5C7866-BB1A-4E14-B1D3-9816BB5DB524}">
      <text>
        <r>
          <rPr>
            <sz val="11"/>
            <color theme="1"/>
            <rFont val="Calibri"/>
            <family val="2"/>
            <scheme val="minor"/>
          </rPr>
          <t>Built from the publisher's standard URL pattern; not opened directly - please spot-check. GU n.302 of 31.12.2018, S.O. n.62 with Law 145/2018 (Ecobonus, art.1 paras 1031-1047). Issue details from memory.</t>
        </r>
      </text>
    </comment>
    <comment ref="D55" authorId="0" shapeId="0" xr:uid="{21CACC92-85D7-4ADA-B06D-499830F2F44F}">
      <text>
        <r>
          <rPr>
            <sz val="11"/>
            <color theme="1"/>
            <rFont val="Calibri"/>
            <family val="2"/>
            <scheme val="minor"/>
          </rPr>
          <t>Link seen in search results. National Strategy for Digital Skills.</t>
        </r>
      </text>
    </comment>
    <comment ref="D56" authorId="0" shapeId="0" xr:uid="{4B1275A2-F67B-4572-9960-A1EA3DD0589A}">
      <text>
        <r>
          <rPr>
            <sz val="11"/>
            <color theme="1"/>
            <rFont val="Calibri"/>
            <family val="2"/>
            <scheme val="minor"/>
          </rPr>
          <t>Built from the publisher's standard URL pattern; not opened directly - please spot-check. GU n.114 of 18.05.1992, S.O. n.74 with the Highway Code (Legislative Decree 285/1992), original text. Issue details from memory.</t>
        </r>
      </text>
    </comment>
    <comment ref="D57" authorId="0" shapeId="0" xr:uid="{B25F87C3-E37C-4596-B732-F4AA8FE3E87A}">
      <text>
        <r>
          <rPr>
            <sz val="11"/>
            <color theme="1"/>
            <rFont val="Calibri"/>
            <family val="2"/>
            <scheme val="minor"/>
          </rPr>
          <t>Built from the publisher's standard URL pattern; not opened directly - please spot-check. Highway Code (Legislative Decree 285/1992), original text. Issue details from memory.</t>
        </r>
      </text>
    </comment>
    <comment ref="D58" authorId="0" shapeId="0" xr:uid="{336FF0D6-B0F1-49C3-831E-91C277F19D39}">
      <text>
        <r>
          <rPr>
            <sz val="11"/>
            <rFont val="Carlito"/>
          </rPr>
          <t>PNIEC 2024 final (MASE). Same URL as earlier PDF column.</t>
        </r>
      </text>
    </comment>
    <comment ref="D59" authorId="0" shapeId="0" xr:uid="{D68A8417-5A26-416D-9919-2280443B3569}">
      <text>
        <r>
          <rPr>
            <sz val="11"/>
            <rFont val="Carlito"/>
          </rPr>
          <t>Built from the publisher's standard PDF URL pattern (pattern confirmed on other documents); not opened directly - please spot-check. GU n.285 of 30.11.2021, S.O. n.42 (original text). Consolidated copy (non-official host): https://faolex.fao.org/docs/pdf/ita227896.pdf</t>
        </r>
      </text>
    </comment>
    <comment ref="D60" authorId="0" shapeId="0" xr:uid="{CCA3A71E-DAC3-40A7-BB94-06C0DEA5A180}">
      <text>
        <r>
          <rPr>
            <sz val="11"/>
            <rFont val="Carlito"/>
          </rPr>
          <t>MASE document-library link that serves the PDF of DM 7.12.2023 n.414 (CACER decree), published 23.01.2024.</t>
        </r>
      </text>
    </comment>
    <comment ref="D61" authorId="0" shapeId="0" xr:uid="{26635959-3244-4949-9FCA-F023FA659D8A}">
      <text>
        <r>
          <rPr>
            <sz val="11"/>
            <rFont val="Carlito"/>
          </rPr>
          <t>MASE document-library PDF: CACER Operational Rules (July 2025) governing the PNRR 40% grant.</t>
        </r>
      </text>
    </comment>
    <comment ref="D62" authorId="0" shapeId="0" xr:uid="{59826D51-C97C-48E9-9AE4-71DCD3DE2A9A}">
      <text>
        <r>
          <rPr>
            <sz val="11"/>
            <rFont val="Carlito"/>
          </rPr>
          <t>Direct PDF link found in search results. Ordinanza n.24 of 30.06.2022 approving the CER call.</t>
        </r>
      </text>
    </comment>
    <comment ref="D63" authorId="0" shapeId="0" xr:uid="{E64F13D7-23E9-44AB-B844-53DE8D0A3D34}">
      <text>
        <r>
          <rPr>
            <sz val="11"/>
            <rFont val="Carlito"/>
          </rPr>
          <t>Direct PDF link found in search results. Representative: Piedmont Regional Law 12/2018 (first regional CER law).</t>
        </r>
      </text>
    </comment>
    <comment ref="D64" authorId="0" shapeId="0" xr:uid="{A5AE8695-4927-4D14-B228-BBDF7D2CA5F4}">
      <text>
        <r>
          <rPr>
            <sz val="11"/>
            <color theme="1"/>
            <rFont val="Calibri"/>
            <family val="2"/>
            <scheme val="minor"/>
          </rPr>
          <t>Link seen in search results. Regional Legislative Decree 17/2025/A amending the SOLENERGE decree 12/2022/A (non-official host: APREN).</t>
        </r>
      </text>
    </comment>
    <comment ref="D65" authorId="0" shapeId="0" xr:uid="{310119CF-5582-4958-A35D-19CF0F7A8C9A}">
      <text>
        <r>
          <rPr>
            <sz val="11"/>
            <rFont val="Carlito"/>
          </rPr>
          <t>Built from the publisher's standard PDF URL pattern (pattern confirmed on other documents); not opened directly - please spot-check. Decree-Law 15/2022 as published (DR 1st series n.10, pp.3-185). A copy of the same file is at https://ordemdosengenheiros.pt/fotos/especialidades/0000300185_19938915836571aac8a132c.pdf</t>
        </r>
      </text>
    </comment>
    <comment ref="D66" authorId="0" shapeId="0" xr:uid="{73160079-E26A-486A-96C1-0BCE740FAD4E}">
      <text>
        <r>
          <rPr>
            <sz val="11"/>
            <rFont val="Carlito"/>
          </rPr>
          <t>Built from the publisher's standard PDF URL pattern (pattern confirmed on other documents); not opened directly - please spot-check. Decree-Law 15/2022 (energy communities incl. cooperative form). Same document as REC framework row.</t>
        </r>
      </text>
    </comment>
    <comment ref="D67" authorId="0" shapeId="0" xr:uid="{01751E51-B477-4058-9F90-57799D92504C}">
      <text>
        <r>
          <rPr>
            <sz val="11"/>
            <rFont val="Carlito"/>
          </rPr>
          <t>Direct PDF link found in search results. Regulation of the Programa de Apoio a Edifícios Mais Sustentáveis (Despacho 8745/2020). NON-OFFICIAL host (municipality); the official DR PDF could not be located.</t>
        </r>
      </text>
    </comment>
    <comment ref="D68" authorId="0" shapeId="0" xr:uid="{EF14530C-C227-49F0-98BE-9079397A86E7}">
      <text>
        <r>
          <rPr>
            <sz val="11"/>
            <rFont val="Carlito"/>
          </rPr>
          <t>Direct PDF link found in search results. Lei 12/2022 (State Budget 2022) that added item 2.37 to VAT List I. Reportedly expired 30.06.2025.</t>
        </r>
      </text>
    </comment>
    <comment ref="D69" authorId="0" shapeId="0" xr:uid="{915BDAC7-735F-42D4-A53B-97B55CF2EABB}">
      <text>
        <r>
          <rPr>
            <sz val="11"/>
            <rFont val="Carlito"/>
          </rPr>
          <t>Built from the publisher's standard PDF URL pattern (pattern confirmed on other documents); not opened directly - please spot-check. Decree-Law 15/2022 (self-consumption/UPAC rules). Same document as REC framework row.</t>
        </r>
      </text>
    </comment>
    <comment ref="D70" authorId="0" shapeId="0" xr:uid="{0F80C04E-D16E-4D88-9010-0432E4FD3436}">
      <text>
        <r>
          <rPr>
            <sz val="11"/>
            <color theme="1"/>
            <rFont val="Calibri"/>
            <family val="2"/>
            <scheme val="minor"/>
          </rPr>
          <t>Link seen in search results. National Energy Poverty Strategy 2019-2024.</t>
        </r>
      </text>
    </comment>
    <comment ref="D71" authorId="0" shapeId="0" xr:uid="{90457D58-D5A2-4BFF-925F-DD280FFED479}">
      <text>
        <r>
          <rPr>
            <sz val="11"/>
            <color theme="1"/>
            <rFont val="Calibri"/>
            <family val="2"/>
            <scheme val="minor"/>
          </rPr>
          <t>Link seen in search results. Hydrogen Roadmap (Oct 2020).</t>
        </r>
      </text>
    </comment>
    <comment ref="D72" authorId="0" shapeId="0" xr:uid="{DE2E0716-78AE-4DAF-B782-6F59EBF63292}">
      <text>
        <r>
          <rPr>
            <sz val="11"/>
            <color theme="1"/>
            <rFont val="Calibri"/>
            <family val="2"/>
            <scheme val="minor"/>
          </rPr>
          <t>Built from the publisher's standard URL pattern; not opened directly - please spot-check. Real Decreto 266/2021 (MOVES III), BOE-A-2021-5869 of 14.04.2021 (ID and date confirmed on BOE).</t>
        </r>
      </text>
    </comment>
    <comment ref="D73" authorId="0" shapeId="0" xr:uid="{DBB22756-EE3E-4C7D-A31E-969796B56A74}">
      <text>
        <r>
          <rPr>
            <sz val="11"/>
            <rFont val="Carlito"/>
          </rPr>
          <t>Direct PDF link found in search results. PNIEC 2023-2030 update approved 24.09.2024 (MITECO).</t>
        </r>
      </text>
    </comment>
    <comment ref="D74" authorId="0" shapeId="0" xr:uid="{8074146F-37D2-4302-82FF-81DDB0DAB211}">
      <text>
        <r>
          <rPr>
            <sz val="11"/>
            <rFont val="Carlito"/>
          </rPr>
          <t>Built from the publisher's standard PDF URL pattern (pattern confirmed on other documents); not opened directly - please spot-check. BOE consolidated PDF (BOE-A-2013-13645).</t>
        </r>
      </text>
    </comment>
    <comment ref="D75" authorId="0" shapeId="0" xr:uid="{EBDEEF43-2631-4F65-99DA-292B189FA6FE}">
      <text>
        <r>
          <rPr>
            <sz val="11"/>
            <rFont val="Carlito"/>
          </rPr>
          <t>Built from the publisher's standard PDF URL pattern (pattern confirmed on other documents); not opened directly - please spot-check. Original BOE PDF (BOE-A-2015-10927, BOE 10.10.2015). Largely repealed - check status.</t>
        </r>
      </text>
    </comment>
    <comment ref="D76" authorId="0" shapeId="0" xr:uid="{A71D79AE-C1B0-4D48-AEEB-7440C578B10A}">
      <text>
        <r>
          <rPr>
            <sz val="11"/>
            <rFont val="Carlito"/>
          </rPr>
          <t>Direct PDF link found in search results. Original BOE PDF.</t>
        </r>
      </text>
    </comment>
    <comment ref="D77" authorId="0" shapeId="0" xr:uid="{6CA170DF-AAC4-4A42-BB3C-A74F365C48D3}">
      <text>
        <r>
          <rPr>
            <sz val="11"/>
            <rFont val="Carlito"/>
          </rPr>
          <t>Direct PDF link found in search results. Original BOE PDF.</t>
        </r>
      </text>
    </comment>
    <comment ref="D78" authorId="0" shapeId="0" xr:uid="{D70111F2-3BB0-4EF4-B55D-9B20399C4F5F}">
      <text>
        <r>
          <rPr>
            <sz val="11"/>
            <rFont val="Carlito"/>
          </rPr>
          <t>Built from the publisher's standard PDF URL pattern (pattern confirmed on other documents); not opened directly - please spot-check. Orden TED/764/2024 (CE Implementa bases, BOE 25.07.2024).</t>
        </r>
      </text>
    </comment>
    <comment ref="D79" authorId="0" shapeId="0" xr:uid="{F335F984-A0AB-4710-B74B-4ED6A42AE180}">
      <text>
        <r>
          <rPr>
            <sz val="11"/>
            <rFont val="Carlito"/>
          </rPr>
          <t>Direct PDF link found in search results. Real Decreto 477/2021.</t>
        </r>
      </text>
    </comment>
    <comment ref="D80" authorId="0" shapeId="0" xr:uid="{0E2B23AE-84D2-43E3-8D81-15447DD5A08D}">
      <text>
        <r>
          <rPr>
            <sz val="11"/>
            <rFont val="Carlito"/>
          </rPr>
          <t>Built from the publisher's standard PDF URL pattern (pattern confirmed on other documents); not opened directly - please spot-check. Ley 35/2006 IRPF consolidated; energy-efficiency deductions in DA 50 (added by Ley 10/2022). Some renewable-specific deductions are regional.</t>
        </r>
      </text>
    </comment>
  </commentList>
</comments>
</file>

<file path=xl/sharedStrings.xml><?xml version="1.0" encoding="utf-8"?>
<sst xmlns="http://schemas.openxmlformats.org/spreadsheetml/2006/main" count="464" uniqueCount="155">
  <si>
    <t>Federal funding for energy-efficient buildings (BEG)</t>
  </si>
  <si>
    <t>German Civil Code – Modernisation levy (Modernisierungsumlage BGB, §559)</t>
  </si>
  <si>
    <t>Fuel Allowance</t>
  </si>
  <si>
    <t>Tax relief, e.g., through adjustment of income tax (EstG)</t>
  </si>
  <si>
    <t>German Civil Code; Costs of heat supply as operating costs, regulatory authority (BGB § 556c)</t>
  </si>
  <si>
    <t>SOLENERGE</t>
  </si>
  <si>
    <t>Warmer Homes Scheme</t>
  </si>
  <si>
    <t>Plan MOVE</t>
  </si>
  <si>
    <t>Hydrogen Roadmap</t>
  </si>
  <si>
    <t>National Energy Poverty Strategy</t>
  </si>
  <si>
    <t>Community Energy Grant</t>
  </si>
  <si>
    <t>Electricity Tax Act</t>
  </si>
  <si>
    <t>All homes to be B2 BER rated.</t>
  </si>
  <si>
    <t>Fair Retrofit Bonus: Progressive Incentives, Advances and Anti-Exclusion Safeguards</t>
  </si>
  <si>
    <t>Fair Electricity Price – structural decoupling from gas</t>
  </si>
  <si>
    <t>Prosumer-Ready Grid — smart meters &amp; LV reinforcement</t>
  </si>
  <si>
    <t>Grid 2030 — prosumer planning &amp; local flexibility</t>
  </si>
  <si>
    <t>Solar Skills &amp; Grid 2035 — youth, skills, prosumer network</t>
  </si>
  <si>
    <t>Germany</t>
  </si>
  <si>
    <t>Energy</t>
  </si>
  <si>
    <t>Housing</t>
  </si>
  <si>
    <t>Hungary</t>
  </si>
  <si>
    <t>Transport</t>
  </si>
  <si>
    <t>Ireland</t>
  </si>
  <si>
    <t>Italy</t>
  </si>
  <si>
    <t>Portugal</t>
  </si>
  <si>
    <t>Spain</t>
  </si>
  <si>
    <t>https://www.gesetze-im-internet.de/enwg_2005/EnWG.pdf</t>
  </si>
  <si>
    <t>https://www.bra.nrw.de/system/files/media/document/file/22-05-2026-buergeng-buergerenergiegesetz-nrw.pdf</t>
  </si>
  <si>
    <t>https://www.bundesanzeiger.de/pub/publication/TevdpcR9NeEp7m7RhbJ/content/TevdpcR9NeEp7m7RhbJ/BAnz%20AT%2029.12.2023%20B1.pdf</t>
  </si>
  <si>
    <t>https://kk.gov.hu/download/9/b7/93000/FINAL_RRF%20kiadv_fin_2026_06_26_.pdf</t>
  </si>
  <si>
    <t>https://www.seai.ie/sites/default/files/grants/home-energy-grants/fully-funded-upgrades-for-eligible-homes/SCHEME-GUIDELINES.pdf</t>
  </si>
  <si>
    <t>https://assets.gov.ie/static/documents/Climate_Action_Plan_2025_updated_cover.pdf</t>
  </si>
  <si>
    <t>https://www.mase.gov.it/portale/documents/d/guest/decreto-cer-pdf</t>
  </si>
  <si>
    <t>https://www.mase.gov.it/sites/default/files/PNIEC_2024_revfin_01072024.pdf</t>
  </si>
  <si>
    <t>https://docs.italia.it/media/pdf/strategia-nazionale-competenze-digitali-docs/1.0/strategia-nazionale-competenze-digitali-docs.pdf</t>
  </si>
  <si>
    <t>https://www.miteco.gob.es/content/dam/miteco/es/prensa/estrategianacionalcontralapobrezaenergetica2019-2024_tcm30-496282.pdf</t>
  </si>
  <si>
    <t>https://miteco.gob.es/es/ministerio/planes-estrategias/hidrogeno/hojarutahidrogenorenovable_tcm30-525000.PDF</t>
  </si>
  <si>
    <t>country</t>
  </si>
  <si>
    <t>sector</t>
  </si>
  <si>
    <t>policy url</t>
  </si>
  <si>
    <t>policy</t>
  </si>
  <si>
    <t>https://www.gesetze-im-internet.de/stromstg/StromStG.pdf</t>
  </si>
  <si>
    <t>https://www.gesetze-im-internet.de/bgb/BGB.pdf</t>
  </si>
  <si>
    <t>https://www.gesetze-im-internet.de/estg/EStG.pdf</t>
  </si>
  <si>
    <t>https://www.gesetze-im-internet.de/co2kostaufg/CO2KostAufG.pdf</t>
  </si>
  <si>
    <t>https://magyarkozlony.hu/dokumentumok/51fc6f5fe0cfb6039a45eed80dfe36ac467825fc/letoltes</t>
  </si>
  <si>
    <t>https://magyarkozlony.hu/dokumentumok/a319bef6f5f35ee1982ef0ac489d83df40af5e67/letoltes</t>
  </si>
  <si>
    <t>https://vizmuvek.hu/files/public/new/torvenyek-jogszabalyok/2023-_evi_ciii-_torv-ny-kozlonyallapot-20231222.pdf</t>
  </si>
  <si>
    <t>https://www.gazzettaufficiale.it/eli/gu/2020/05/19/128/so/21/sg/pdf</t>
  </si>
  <si>
    <t>https://eur-lex.europa.eu/legal-content/EN/TXT/PDF/?uri=CELEX:32024R1747</t>
  </si>
  <si>
    <t>https://www.gazzettaufficiale.it/eli/gu/2022/05/17/114/sg/pdf</t>
  </si>
  <si>
    <t>https://www.gazzettaufficiale.it/eli/gu/2012/12/29/302/so/212/sg/pdf</t>
  </si>
  <si>
    <t>https://www.gazzettaufficiale.it/eli/gu/2018/12/31/302/so/62/sg/pdf</t>
  </si>
  <si>
    <t>https://www.gazzettaufficiale.it/eli/gu/1992/05/18/114/so/74/sg/pdf</t>
  </si>
  <si>
    <t>https://www.boe.es/boe/dias/2021/04/14/pdfs/BOE-A-2021-5869.pdf</t>
  </si>
  <si>
    <t>Energy Industry Act, Energiewirtschaftsgesetz (EnWG) – Amendment 2025</t>
  </si>
  <si>
    <t>language</t>
  </si>
  <si>
    <t>policy_type</t>
  </si>
  <si>
    <t>Adjustment to existing policy</t>
  </si>
  <si>
    <t>National Energy and Climate Plan (NECP)</t>
  </si>
  <si>
    <t>Erneuerbare-Energien-Gesetz (EEG) / Renewable Energy Act</t>
  </si>
  <si>
    <t>Solarpaket 1 / Solar Package I</t>
  </si>
  <si>
    <t>Gesetz zum Neustart der Digitalisierung der Energiewende (GNDEW)</t>
  </si>
  <si>
    <t>Energiewirtschaftsgesetz (EnWG)</t>
  </si>
  <si>
    <t>North Rhine-Westphalia Citizens' Energy Act (BürgEnG)</t>
  </si>
  <si>
    <t>Renewable Energy Revenue Participation Act (EEErtrBetG), Saxony</t>
  </si>
  <si>
    <t>Mecklenburg-Vorpommern Citizen and Community Participation Act (BüGembeteilG M-V)</t>
  </si>
  <si>
    <t>Brandenburg Wind Energy Plant Levy Act (BbgWindAbgG)</t>
  </si>
  <si>
    <t>Operational Programmes 2021–2027</t>
  </si>
  <si>
    <t>Renewable Energy Support Scheme (METÁR)</t>
  </si>
  <si>
    <t>National Tender for pilot energy communities</t>
  </si>
  <si>
    <t>Napenergia Plusz Program</t>
  </si>
  <si>
    <t>RenoPont</t>
  </si>
  <si>
    <t>CSOK Plus family housing subsidy</t>
  </si>
  <si>
    <t>Climate Action Plan</t>
  </si>
  <si>
    <t>Micro-Generation Support Scheme (MSS)</t>
  </si>
  <si>
    <t>Domestic Solar PV / Solar Electricity Grant</t>
  </si>
  <si>
    <t>Small-Scale Renewable Electricity Support Scheme (SRESS)</t>
  </si>
  <si>
    <t>Better Energy Homes Scheme</t>
  </si>
  <si>
    <t>National Home Energy Upgrade Scheme</t>
  </si>
  <si>
    <t>Community Grant Scheme</t>
  </si>
  <si>
    <t>Legislative Decree 199/2021</t>
  </si>
  <si>
    <t>Implementing Decree of 23 January 2024</t>
  </si>
  <si>
    <t>PNRR capital grants for Renewable Energy Communities</t>
  </si>
  <si>
    <t>NextAppennino</t>
  </si>
  <si>
    <t>Regional CER laws and public-financing programmes</t>
  </si>
  <si>
    <t>Renewable Energy Communities (REC) framework</t>
  </si>
  <si>
    <t>Cooperative Model Support</t>
  </si>
  <si>
    <t>Solar Panel Installation Subsidies</t>
  </si>
  <si>
    <t>Reduced VAT for residential solar PV</t>
  </si>
  <si>
    <t>Net Metering / energy credits</t>
  </si>
  <si>
    <t>Integrated National Energy and Climate Plan (PNIEC) 2023–2030</t>
  </si>
  <si>
    <t>Ley 24/2013 on the Electricity Sector</t>
  </si>
  <si>
    <t>Real Decreto 900/2015</t>
  </si>
  <si>
    <t>Real Decreto-ley 15/2018</t>
  </si>
  <si>
    <t>Ley 10/2022</t>
  </si>
  <si>
    <t>CE Programme – aid for energy communities</t>
  </si>
  <si>
    <t>PRAAST – renewable self-consumption, storage and thermal systems aid</t>
  </si>
  <si>
    <t>IRPF tax benefits for renewable thermal energy</t>
  </si>
  <si>
    <t>https://commission.europa.eu/document/download/cd8ba2d6-1af6-4f37-aa07-059989bb1264_en?filename=GERMANY%E2%80%93FINAL_UPDATED_NECP_2021-2030_%28ENGLISH%29.pdf</t>
  </si>
  <si>
    <t>https://www.gesetze-im-internet.de/eeg_2014/EEG_2023.pdf</t>
  </si>
  <si>
    <t>https://www.regierung-mv.de/static/Regierungsportal/Justizministerium/Inhalte/Rechtliches/GVOBI.M-V/GVOBl.%20Nr.%2012%20v.%2028.4.2026.pdf</t>
  </si>
  <si>
    <t>https://bravors.brandenburg.de/fm/76/GVBl_I_30_2019.pdf</t>
  </si>
  <si>
    <t>https://commission.europa.eu/document/download/0a2953f8-5789-4f6f-9714-03df3d4cbbab_en?filename=HU_FINAL%20UPDATED%20NECP%202021-2030%20%28English%29.pdf</t>
  </si>
  <si>
    <t>https://magyarkozlony.hu/dokumentumok/f14ac90ec461dbb2088d082030bd9a123daa8566/letoltes</t>
  </si>
  <si>
    <t>https://nkfih.gov.hu/palyazoknak/egyeb-tamogatas/energiakozossegek-kialakitasat-mukodeset-tamogato-mintaprojekt-megvalositasa-2020-314-zfr-ekm/palyazati-felhivas</t>
  </si>
  <si>
    <t>https://napenergiaplusz.nffku.hu/files/01_Felhivas_lakossagi_PV_2_szamu_modositasa_240806_.pdf</t>
  </si>
  <si>
    <t>https://build-up.ec.europa.eu/system/files/2024-12/c6tfK2vkps_11_12_2024_135859.pdf</t>
  </si>
  <si>
    <t>https://magyarkozlony.hu/dokumentumok/59ba20495cd587e54decf5b41b0e6f9e4bba3926/letoltes</t>
  </si>
  <si>
    <t>https://commission.europa.eu/document/download/2f11d301-7386-4078-957f-4a82c9b77efe_en?filename=IE_FINAL%20UPDATED%20NECP%202021-2030%20%28English%29.pdf</t>
  </si>
  <si>
    <t>https://assets.gov.ie/244404/1477c2aa-9fbc-4c30-b4f7-454136806d33.pdf</t>
  </si>
  <si>
    <t>https://seai.ie/sites/default/files/publications/Solar-PV-Grant-Application-Guide.pdf</t>
  </si>
  <si>
    <t>https://assets.gov.ie/static/documents/sress-1-application-information-pack-be271d71-84ae-4f20-9651-e83a5f245871.pdf</t>
  </si>
  <si>
    <t>https://www.seai.ie/publications/Homeowner-Application-Guide.pdf</t>
  </si>
  <si>
    <t>https://seai.ie/sites/default/files/2024-10/National-Home-Energy-Upgrade-Scheme-Terms-and-Conditions.pdf</t>
  </si>
  <si>
    <t>https://www.gazzettaufficiale.it/eli/gu/2021/11/30/285/so/42/sg/pdf</t>
  </si>
  <si>
    <t>https://www.mase.gov.it/portale/documents/d/guest/20250715_allegato_1_ro_cacer_rev2dggefim_clean_final-pdf</t>
  </si>
  <si>
    <t>https://sisma2009.governo.it/media/1630/ordinanza-n-24-del-30062022-pnc-sisma_signed.pdf</t>
  </si>
  <si>
    <t>https://www.regione.piemonte.it/governo/bollettino/abbonati/2018/32/attach/aa_aa_regione%20piemonte%20-%20legge%20regionale_2018-08-06_64524.pdf</t>
  </si>
  <si>
    <t>https://files.dre.pt/1s/2022/01/01000/0000300185.pdf</t>
  </si>
  <si>
    <t>https://www.cm-borba.pt/wp-content/uploads/2020/10/Programa-de-Apoio-a-Edif%C3%ADcios-mais-Sustent%C3%A1veis-Regulamento.pdf</t>
  </si>
  <si>
    <t>https://files.dre.pt/1s/2022/06/12200/0000200291.pdf</t>
  </si>
  <si>
    <t>https://www.miteco.gob.es/content/dam/miteco/es/energia/files-1/pniec-2023-2030/PNIEC_2024_240924.pdf</t>
  </si>
  <si>
    <t>https://www.boe.es/buscar/pdf/2013/BOE-A-2013-13645-consolidado.pdf</t>
  </si>
  <si>
    <t>https://www.boe.es/boe/dias/2015/10/10/pdfs/BOE-A-2015-10927.pdf</t>
  </si>
  <si>
    <t>https://www.boe.es/boe/dias/2018/10/06/pdfs/BOE-A-2018-13593.pdf</t>
  </si>
  <si>
    <t>https://www.boe.es/boe/dias/2022/06/15/pdfs/BOE-A-2022-9838.pdf</t>
  </si>
  <si>
    <t>https://www.boe.es/boe/dias/2024/07/25/pdfs/BOE-A-2024-15412.pdf</t>
  </si>
  <si>
    <t>https://www.boe.es/boe/dias/2021/06/30/pdfs/BOE-A-2021-10824.pdf</t>
  </si>
  <si>
    <t>https://www.boe.es/buscar/pdf/2006/BOE-A-2006-20764-consolidado.pdf</t>
  </si>
  <si>
    <t>Survey policy case study</t>
  </si>
  <si>
    <t>German</t>
  </si>
  <si>
    <t>Hungarian</t>
  </si>
  <si>
    <t>Portuguese</t>
  </si>
  <si>
    <t>Italian</t>
  </si>
  <si>
    <t>Spanish</t>
  </si>
  <si>
    <t>English</t>
  </si>
  <si>
    <t>National governance of Local Public Transport: funding, minimum standards, accessibility, and excise-based resources</t>
  </si>
  <si>
    <r>
      <t>Citizen Participation Laws (Bürgerbeteiligungsgesetze)</t>
    </r>
    <r>
      <rPr>
        <sz val="11"/>
        <color theme="1"/>
        <rFont val="Calibri"/>
        <family val="2"/>
        <scheme val="minor"/>
      </rPr>
      <t xml:space="preserve"> — Standardising participation and liability rules nationwide.</t>
    </r>
  </si>
  <si>
    <t>CO2 levy - CO2 Cost Allocation Act (CO2KostAufG)</t>
  </si>
  <si>
    <t>Social Housing and Home Refurbishment Programme (inc. specific rural funding)</t>
  </si>
  <si>
    <t>EV Incentive and Subsidy Programme – Adjusted to Support Used Evs</t>
  </si>
  <si>
    <t>Digital Devices Programme – Social Prioritisation and Inclusive Allocation</t>
  </si>
  <si>
    <t>Wind Turbine Installation Programme – Community Compensation Mechanism</t>
  </si>
  <si>
    <t>Digital Citizenship App (DÁP)</t>
  </si>
  <si>
    <t>Minimum BER in the Rental Sector</t>
  </si>
  <si>
    <t>Technical-Administrative Support Programme for the Management of Renewable Energy Communities</t>
  </si>
  <si>
    <t>Economic incentives and concessions for local public transport</t>
  </si>
  <si>
    <t>Incentives targeted at private transport (Ecobonus for the purchase of private electric vehicles)</t>
  </si>
  <si>
    <t>Digital literacy policies (single platform and support for the elderly)</t>
  </si>
  <si>
    <t>Transparency on traffic rules and ZTL (Limited Traffic Zones)</t>
  </si>
  <si>
    <t>Restriction of freight traffic, urban logistics, and tourist vehicle traffic</t>
  </si>
  <si>
    <t>https://www.recht.bund.de/bgbl/1/2023/133/regelungstext.pdf?__blob=publicationFile&amp;v=1</t>
  </si>
  <si>
    <t>https://www.recht.bund.de/bgbl/1/2024/151/regelungstext.pdf?__blob=publicationFile&amp;v=1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</si>
</sst>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name val="Carlito"/>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miteco.gob.es/es/ministerio/planes-estrategias/hidrogeno/hojarutahidrogenorenovable_tcm30-525000.PDF" TargetMode="External"/><Relationship Id="rId21" Type="http://schemas.openxmlformats.org/officeDocument/2006/relationships/hyperlink" Target="https://www.gazzettaufficiale.it/eli/gu/2018/12/31/302/so/62/sg/pdf" TargetMode="External"/><Relationship Id="rId42" Type="http://schemas.openxmlformats.org/officeDocument/2006/relationships/hyperlink" Target="https://assets.gov.ie/244404/1477c2aa-9fbc-4c30-b4f7-454136806d33.pdf" TargetMode="External"/><Relationship Id="rId47" Type="http://schemas.openxmlformats.org/officeDocument/2006/relationships/hyperlink" Target="https://www.mase.gov.it/sites/default/files/PNIEC_2024_revfin_01072024.pdf" TargetMode="External"/><Relationship Id="rId63" Type="http://schemas.openxmlformats.org/officeDocument/2006/relationships/hyperlink" Target="https://www.boe.es/boe/dias/2024/07/25/pdfs/BOE-A-2024-15412.pdf" TargetMode="External"/><Relationship Id="rId68" Type="http://schemas.openxmlformats.org/officeDocument/2006/relationships/hyperlink" Target="https://vizmuvek.hu/files/public/new/torvenyek-jogszabalyok/2023-_evi_ciii-_torv-ny-kozlonyallapot-20231222.pdf" TargetMode="External"/><Relationship Id="rId7" Type="http://schemas.openxmlformats.org/officeDocument/2006/relationships/hyperlink" Target="https://www.gesetze-im-internet.de/co2kostaufg/CO2KostAufG.pdf" TargetMode="External"/><Relationship Id="rId71" Type="http://schemas.openxmlformats.org/officeDocument/2006/relationships/comments" Target="../comments1.xml"/><Relationship Id="rId2" Type="http://schemas.openxmlformats.org/officeDocument/2006/relationships/hyperlink" Target="https://www.gesetze-im-internet.de/stromstg/StromStG.pdf" TargetMode="External"/><Relationship Id="rId16" Type="http://schemas.openxmlformats.org/officeDocument/2006/relationships/hyperlink" Target="https://www.mase.gov.it/sites/default/files/PNIEC_2024_revfin_01072024.pdf" TargetMode="External"/><Relationship Id="rId29" Type="http://schemas.openxmlformats.org/officeDocument/2006/relationships/hyperlink" Target="https://www.gesetze-im-internet.de/eeg_2014/EEG_2023.pdf" TargetMode="External"/><Relationship Id="rId11" Type="http://schemas.openxmlformats.org/officeDocument/2006/relationships/hyperlink" Target="https://www.seai.ie/sites/default/files/grants/home-energy-grants/fully-funded-upgrades-for-eligible-homes/SCHEME-GUIDELINES.pdf" TargetMode="External"/><Relationship Id="rId24" Type="http://schemas.openxmlformats.org/officeDocument/2006/relationships/hyperlink" Target="https://www.gazzettaufficiale.it/eli/gu/1992/05/18/114/so/74/sg/pdf" TargetMode="External"/><Relationship Id="rId32" Type="http://schemas.openxmlformats.org/officeDocument/2006/relationships/hyperlink" Target="https://www.regierung-mv.de/static/Regierungsportal/Justizministerium/Inhalte/Rechtliches/GVOBI.M-V/GVOBl.%20Nr.%2012%20v.%2028.4.2026.pdf" TargetMode="External"/><Relationship Id="rId37" Type="http://schemas.openxmlformats.org/officeDocument/2006/relationships/hyperlink" Target="https://napenergiaplusz.nffku.hu/files/01_Felhivas_lakossagi_PV_2_szamu_modositasa_240806_.pdf" TargetMode="External"/><Relationship Id="rId40" Type="http://schemas.openxmlformats.org/officeDocument/2006/relationships/hyperlink" Target="https://commission.europa.eu/document/download/2f11d301-7386-4078-957f-4a82c9b77efe_en?filename=IE_FINAL%20UPDATED%20NECP%202021-2030%20%28English%29.pdf" TargetMode="External"/><Relationship Id="rId45" Type="http://schemas.openxmlformats.org/officeDocument/2006/relationships/hyperlink" Target="https://www.seai.ie/publications/Homeowner-Application-Guide.pdf" TargetMode="External"/><Relationship Id="rId53" Type="http://schemas.openxmlformats.org/officeDocument/2006/relationships/hyperlink" Target="https://files.dre.pt/1s/2022/01/01000/0000300185.pdf" TargetMode="External"/><Relationship Id="rId58" Type="http://schemas.openxmlformats.org/officeDocument/2006/relationships/hyperlink" Target="https://www.miteco.gob.es/content/dam/miteco/es/energia/files-1/pniec-2023-2030/PNIEC_2024_240924.pdf" TargetMode="External"/><Relationship Id="rId66" Type="http://schemas.openxmlformats.org/officeDocument/2006/relationships/hyperlink" Target="https://kk.gov.hu/download/9/b7/93000/FINAL_RRF%20kiadv_fin_2026_06_26_.pdf" TargetMode="External"/><Relationship Id="rId5" Type="http://schemas.openxmlformats.org/officeDocument/2006/relationships/hyperlink" Target="https://www.gesetze-im-internet.de/bgb/BGB.pdf" TargetMode="External"/><Relationship Id="rId61" Type="http://schemas.openxmlformats.org/officeDocument/2006/relationships/hyperlink" Target="https://www.boe.es/boe/dias/2018/10/06/pdfs/BOE-A-2018-13593.pdf" TargetMode="External"/><Relationship Id="rId19" Type="http://schemas.openxmlformats.org/officeDocument/2006/relationships/hyperlink" Target="https://www.gazzettaufficiale.it/eli/gu/2022/05/17/114/sg/pdf" TargetMode="External"/><Relationship Id="rId14" Type="http://schemas.openxmlformats.org/officeDocument/2006/relationships/hyperlink" Target="https://www.gazzettaufficiale.it/eli/gu/2020/05/19/128/so/21/sg/pdf" TargetMode="External"/><Relationship Id="rId22" Type="http://schemas.openxmlformats.org/officeDocument/2006/relationships/hyperlink" Target="https://docs.italia.it/media/pdf/strategia-nazionale-competenze-digitali-docs/1.0/strategia-nazionale-competenze-digitali-docs.pdf" TargetMode="External"/><Relationship Id="rId27" Type="http://schemas.openxmlformats.org/officeDocument/2006/relationships/hyperlink" Target="https://www.boe.es/boe/dias/2021/04/14/pdfs/BOE-A-2021-5869.pdf" TargetMode="External"/><Relationship Id="rId30" Type="http://schemas.openxmlformats.org/officeDocument/2006/relationships/hyperlink" Target="https://www.gesetze-im-internet.de/enwg_2005/EnWG.pdf" TargetMode="External"/><Relationship Id="rId35" Type="http://schemas.openxmlformats.org/officeDocument/2006/relationships/hyperlink" Target="https://magyarkozlony.hu/dokumentumok/f14ac90ec461dbb2088d082030bd9a123daa8566/letoltes" TargetMode="External"/><Relationship Id="rId43" Type="http://schemas.openxmlformats.org/officeDocument/2006/relationships/hyperlink" Target="https://seai.ie/sites/default/files/publications/Solar-PV-Grant-Application-Guide.pdf" TargetMode="External"/><Relationship Id="rId48" Type="http://schemas.openxmlformats.org/officeDocument/2006/relationships/hyperlink" Target="https://www.gazzettaufficiale.it/eli/gu/2021/11/30/285/so/42/sg/pdf" TargetMode="External"/><Relationship Id="rId56" Type="http://schemas.openxmlformats.org/officeDocument/2006/relationships/hyperlink" Target="https://files.dre.pt/1s/2022/06/12200/0000200291.pdf" TargetMode="External"/><Relationship Id="rId64" Type="http://schemas.openxmlformats.org/officeDocument/2006/relationships/hyperlink" Target="https://www.boe.es/boe/dias/2021/06/30/pdfs/BOE-A-2021-10824.pdf" TargetMode="External"/><Relationship Id="rId69" Type="http://schemas.openxmlformats.org/officeDocument/2006/relationships/hyperlink" Target="https://magyarkozlony.hu/dokumentumok/51fc6f5fe0cfb6039a45eed80dfe36ac467825fc/letoltes" TargetMode="External"/><Relationship Id="rId8" Type="http://schemas.openxmlformats.org/officeDocument/2006/relationships/hyperlink" Target="https://www.gesetze-im-internet.de/bgb/BGB.pdf" TargetMode="External"/><Relationship Id="rId51" Type="http://schemas.openxmlformats.org/officeDocument/2006/relationships/hyperlink" Target="https://sisma2009.governo.it/media/1630/ordinanza-n-24-del-30062022-pnc-sisma_signed.pdf" TargetMode="External"/><Relationship Id="rId3" Type="http://schemas.openxmlformats.org/officeDocument/2006/relationships/hyperlink" Target="https://www.bra.nrw.de/system/files/media/document/file/22-05-2026-buergeng-buergerenergiegesetz-nrw.pdf" TargetMode="External"/><Relationship Id="rId12" Type="http://schemas.openxmlformats.org/officeDocument/2006/relationships/hyperlink" Target="https://assets.gov.ie/static/documents/Climate_Action_Plan_2025_updated_cover.pdf" TargetMode="External"/><Relationship Id="rId17" Type="http://schemas.openxmlformats.org/officeDocument/2006/relationships/hyperlink" Target="https://www.mase.gov.it/sites/default/files/PNIEC_2024_revfin_01072024.pdf" TargetMode="External"/><Relationship Id="rId25" Type="http://schemas.openxmlformats.org/officeDocument/2006/relationships/hyperlink" Target="https://www.miteco.gob.es/content/dam/miteco/es/prensa/estrategianacionalcontralapobrezaenergetica2019-2024_tcm30-496282.pdf" TargetMode="External"/><Relationship Id="rId33" Type="http://schemas.openxmlformats.org/officeDocument/2006/relationships/hyperlink" Target="https://bravors.brandenburg.de/fm/76/GVBl_I_30_2019.pdf" TargetMode="External"/><Relationship Id="rId38" Type="http://schemas.openxmlformats.org/officeDocument/2006/relationships/hyperlink" Target="https://build-up.ec.europa.eu/system/files/2024-12/c6tfK2vkps_11_12_2024_135859.pdf" TargetMode="External"/><Relationship Id="rId46" Type="http://schemas.openxmlformats.org/officeDocument/2006/relationships/hyperlink" Target="https://seai.ie/sites/default/files/2024-10/National-Home-Energy-Upgrade-Scheme-Terms-and-Conditions.pdf" TargetMode="External"/><Relationship Id="rId59" Type="http://schemas.openxmlformats.org/officeDocument/2006/relationships/hyperlink" Target="https://www.boe.es/buscar/pdf/2013/BOE-A-2013-13645-consolidado.pdf" TargetMode="External"/><Relationship Id="rId67" Type="http://schemas.openxmlformats.org/officeDocument/2006/relationships/hyperlink" Target="https://magyarkozlony.hu/dokumentumok/a319bef6f5f35ee1982ef0ac489d83df40af5e67/letoltes" TargetMode="External"/><Relationship Id="rId20" Type="http://schemas.openxmlformats.org/officeDocument/2006/relationships/hyperlink" Target="https://www.gazzettaufficiale.it/eli/gu/2012/12/29/302/so/212/sg/pdf" TargetMode="External"/><Relationship Id="rId41" Type="http://schemas.openxmlformats.org/officeDocument/2006/relationships/hyperlink" Target="https://assets.gov.ie/static/documents/Climate_Action_Plan_2025_updated_cover.pdf" TargetMode="External"/><Relationship Id="rId54" Type="http://schemas.openxmlformats.org/officeDocument/2006/relationships/hyperlink" Target="https://files.dre.pt/1s/2022/01/01000/0000300185.pdf" TargetMode="External"/><Relationship Id="rId62" Type="http://schemas.openxmlformats.org/officeDocument/2006/relationships/hyperlink" Target="https://www.boe.es/boe/dias/2022/06/15/pdfs/BOE-A-2022-9838.pdf" TargetMode="External"/><Relationship Id="rId70" Type="http://schemas.openxmlformats.org/officeDocument/2006/relationships/vmlDrawing" Target="../drawings/vmlDrawing1.vml"/><Relationship Id="rId1" Type="http://schemas.openxmlformats.org/officeDocument/2006/relationships/hyperlink" Target="https://www.gesetze-im-internet.de/enwg_2005/EnWG.pdf" TargetMode="External"/><Relationship Id="rId6" Type="http://schemas.openxmlformats.org/officeDocument/2006/relationships/hyperlink" Target="https://www.gesetze-im-internet.de/estg/EStG.pdf" TargetMode="External"/><Relationship Id="rId15" Type="http://schemas.openxmlformats.org/officeDocument/2006/relationships/hyperlink" Target="https://eur-lex.europa.eu/legal-content/EN/TXT/PDF/?uri=CELEX:32024R1747" TargetMode="External"/><Relationship Id="rId23" Type="http://schemas.openxmlformats.org/officeDocument/2006/relationships/hyperlink" Target="https://www.gazzettaufficiale.it/eli/gu/1992/05/18/114/so/74/sg/pdf" TargetMode="External"/><Relationship Id="rId28" Type="http://schemas.openxmlformats.org/officeDocument/2006/relationships/hyperlink" Target="https://commission.europa.eu/document/download/cd8ba2d6-1af6-4f37-aa07-059989bb1264_en?filename=GERMANY%E2%80%93FINAL_UPDATED_NECP_2021-2030_%28ENGLISH%29.pdf" TargetMode="External"/><Relationship Id="rId36" Type="http://schemas.openxmlformats.org/officeDocument/2006/relationships/hyperlink" Target="https://nkfih.gov.hu/palyazoknak/egyeb-tamogatas/energiakozossegek-kialakitasat-mukodeset-tamogato-mintaprojekt-megvalositasa-2020-314-zfr-ekm/palyazati-felhivas" TargetMode="External"/><Relationship Id="rId49" Type="http://schemas.openxmlformats.org/officeDocument/2006/relationships/hyperlink" Target="https://www.mase.gov.it/portale/documents/d/guest/decreto-cer-pdf" TargetMode="External"/><Relationship Id="rId57" Type="http://schemas.openxmlformats.org/officeDocument/2006/relationships/hyperlink" Target="https://files.dre.pt/1s/2022/01/01000/0000300185.pdf" TargetMode="External"/><Relationship Id="rId10" Type="http://schemas.openxmlformats.org/officeDocument/2006/relationships/hyperlink" Target="https://www.seai.ie/sites/default/files/grants/home-energy-grants/fully-funded-upgrades-for-eligible-homes/SCHEME-GUIDELINES.pdf" TargetMode="External"/><Relationship Id="rId31" Type="http://schemas.openxmlformats.org/officeDocument/2006/relationships/hyperlink" Target="https://www.bra.nrw.de/system/files/media/document/file/22-05-2026-buergeng-buergerenergiegesetz-nrw.pdf" TargetMode="External"/><Relationship Id="rId44" Type="http://schemas.openxmlformats.org/officeDocument/2006/relationships/hyperlink" Target="https://assets.gov.ie/static/documents/sress-1-application-information-pack-be271d71-84ae-4f20-9651-e83a5f245871.pdf" TargetMode="External"/><Relationship Id="rId52" Type="http://schemas.openxmlformats.org/officeDocument/2006/relationships/hyperlink" Target="https://www.regione.piemonte.it/governo/bollettino/abbonati/2018/32/attach/aa_aa_regione%20piemonte%20-%20legge%20regionale_2018-08-06_64524.pdf" TargetMode="External"/><Relationship Id="rId60" Type="http://schemas.openxmlformats.org/officeDocument/2006/relationships/hyperlink" Target="https://www.boe.es/boe/dias/2015/10/10/pdfs/BOE-A-2015-10927.pdf" TargetMode="External"/><Relationship Id="rId65" Type="http://schemas.openxmlformats.org/officeDocument/2006/relationships/hyperlink" Target="https://www.boe.es/buscar/pdf/2006/BOE-A-2006-20764-consolidado.pdf" TargetMode="External"/><Relationship Id="rId4" Type="http://schemas.openxmlformats.org/officeDocument/2006/relationships/hyperlink" Target="https://www.bundesanzeiger.de/pub/publication/TevdpcR9NeEp7m7RhbJ/content/TevdpcR9NeEp7m7RhbJ/BAnz%20AT%2029.12.2023%20B1.pdf" TargetMode="External"/><Relationship Id="rId9" Type="http://schemas.openxmlformats.org/officeDocument/2006/relationships/hyperlink" Target="https://magyarkozlony.hu/dokumentumok/51fc6f5fe0cfb6039a45eed80dfe36ac467825fc/letoltes" TargetMode="External"/><Relationship Id="rId13" Type="http://schemas.openxmlformats.org/officeDocument/2006/relationships/hyperlink" Target="https://www.mase.gov.it/portale/documents/d/guest/decreto-cer-pdf" TargetMode="External"/><Relationship Id="rId18" Type="http://schemas.openxmlformats.org/officeDocument/2006/relationships/hyperlink" Target="https://www.mase.gov.it/sites/default/files/PNIEC_2024_revfin_01072024.pdf" TargetMode="External"/><Relationship Id="rId39" Type="http://schemas.openxmlformats.org/officeDocument/2006/relationships/hyperlink" Target="https://magyarkozlony.hu/dokumentumok/59ba20495cd587e54decf5b41b0e6f9e4bba3926/letoltes" TargetMode="External"/><Relationship Id="rId34" Type="http://schemas.openxmlformats.org/officeDocument/2006/relationships/hyperlink" Target="https://commission.europa.eu/document/download/0a2953f8-5789-4f6f-9714-03df3d4cbbab_en?filename=HU_FINAL%20UPDATED%20NECP%202021-2030%20%28English%29.pdf" TargetMode="External"/><Relationship Id="rId50" Type="http://schemas.openxmlformats.org/officeDocument/2006/relationships/hyperlink" Target="https://www.mase.gov.it/portale/documents/d/guest/20250715_allegato_1_ro_cacer_rev2dggefim_clean_final-pdf" TargetMode="External"/><Relationship Id="rId55" Type="http://schemas.openxmlformats.org/officeDocument/2006/relationships/hyperlink" Target="https://www.cm-borba.pt/wp-content/uploads/2020/10/Programa-de-Apoio-a-Edif%C3%ADcios-mais-Sustent%C3%A1veis-Regulamento.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53CE1-AB1B-4F69-8A65-C29313BFC2AD}">
  <sheetPr codeName="Sheet1"/>
  <dimension ref="A1:H80"/>
  <sheetViews>
    <sheetView tabSelected="1" topLeftCell="A51" workbookViewId="0">
      <selection activeCell="E64" sqref="E64"/>
    </sheetView>
  </sheetViews>
  <sheetFormatPr defaultColWidth="20.6328125" defaultRowHeight="14.5"/>
  <cols>
    <col min="3" max="3" width="100.08984375" bestFit="1" customWidth="1"/>
  </cols>
  <sheetData>
    <row r="1" spans="1:8">
      <c r="A1" t="s">
        <v>38</v>
      </c>
      <c r="B1" t="s">
        <v>39</v>
      </c>
      <c r="C1" t="s">
        <v>41</v>
      </c>
      <c r="D1" t="s">
        <v>40</v>
      </c>
      <c r="E1" t="s">
        <v>57</v>
      </c>
      <c r="F1" t="s">
        <v>58</v>
      </c>
    </row>
    <row r="2" spans="1:8">
      <c r="A2" t="s">
        <v>18</v>
      </c>
      <c r="B2" t="s">
        <v>19</v>
      </c>
      <c r="C2" t="s">
        <v>56</v>
      </c>
      <c r="D2" t="s">
        <v>27</v>
      </c>
      <c r="E2" t="s">
        <v>132</v>
      </c>
      <c r="F2" s="1" t="s">
        <v>59</v>
      </c>
      <c r="H2">
        <f>LEN(C2)</f>
        <v>69</v>
      </c>
    </row>
    <row r="3" spans="1:8">
      <c r="A3" t="s">
        <v>18</v>
      </c>
      <c r="B3" t="s">
        <v>19</v>
      </c>
      <c r="C3" t="s">
        <v>11</v>
      </c>
      <c r="D3" t="s">
        <v>42</v>
      </c>
      <c r="E3" t="s">
        <v>132</v>
      </c>
      <c r="F3" s="1" t="s">
        <v>59</v>
      </c>
      <c r="H3">
        <f t="shared" ref="H3:H64" si="0">LEN(C3)</f>
        <v>19</v>
      </c>
    </row>
    <row r="4" spans="1:8">
      <c r="A4" t="s">
        <v>18</v>
      </c>
      <c r="B4" t="s">
        <v>19</v>
      </c>
      <c r="C4" t="s">
        <v>139</v>
      </c>
      <c r="D4" t="s">
        <v>28</v>
      </c>
      <c r="E4" t="s">
        <v>132</v>
      </c>
      <c r="F4" s="1" t="s">
        <v>59</v>
      </c>
      <c r="H4">
        <f t="shared" si="0"/>
        <v>116</v>
      </c>
    </row>
    <row r="5" spans="1:8">
      <c r="A5" t="s">
        <v>18</v>
      </c>
      <c r="B5" t="s">
        <v>20</v>
      </c>
      <c r="C5" t="s">
        <v>0</v>
      </c>
      <c r="D5" t="s">
        <v>29</v>
      </c>
      <c r="E5" t="s">
        <v>132</v>
      </c>
      <c r="F5" s="1" t="s">
        <v>59</v>
      </c>
      <c r="H5">
        <f t="shared" si="0"/>
        <v>52</v>
      </c>
    </row>
    <row r="6" spans="1:8">
      <c r="A6" t="s">
        <v>18</v>
      </c>
      <c r="B6" t="s">
        <v>20</v>
      </c>
      <c r="C6" t="s">
        <v>1</v>
      </c>
      <c r="D6" t="s">
        <v>43</v>
      </c>
      <c r="E6" t="s">
        <v>132</v>
      </c>
      <c r="F6" s="1" t="s">
        <v>59</v>
      </c>
      <c r="H6">
        <f t="shared" si="0"/>
        <v>72</v>
      </c>
    </row>
    <row r="7" spans="1:8">
      <c r="A7" t="s">
        <v>18</v>
      </c>
      <c r="B7" t="s">
        <v>20</v>
      </c>
      <c r="C7" t="s">
        <v>3</v>
      </c>
      <c r="D7" t="s">
        <v>44</v>
      </c>
      <c r="E7" t="s">
        <v>132</v>
      </c>
      <c r="F7" s="1" t="s">
        <v>59</v>
      </c>
      <c r="H7">
        <f t="shared" si="0"/>
        <v>57</v>
      </c>
    </row>
    <row r="8" spans="1:8">
      <c r="A8" t="s">
        <v>18</v>
      </c>
      <c r="B8" t="s">
        <v>20</v>
      </c>
      <c r="C8" t="s">
        <v>140</v>
      </c>
      <c r="D8" t="s">
        <v>45</v>
      </c>
      <c r="E8" t="s">
        <v>132</v>
      </c>
      <c r="F8" s="1" t="s">
        <v>59</v>
      </c>
      <c r="H8">
        <f t="shared" si="0"/>
        <v>48</v>
      </c>
    </row>
    <row r="9" spans="1:8">
      <c r="A9" t="s">
        <v>18</v>
      </c>
      <c r="B9" t="s">
        <v>20</v>
      </c>
      <c r="C9" t="s">
        <v>4</v>
      </c>
      <c r="D9" t="s">
        <v>43</v>
      </c>
      <c r="E9" t="s">
        <v>132</v>
      </c>
      <c r="F9" s="1" t="s">
        <v>59</v>
      </c>
      <c r="H9">
        <f t="shared" si="0"/>
        <v>93</v>
      </c>
    </row>
    <row r="10" spans="1:8">
      <c r="A10" t="s">
        <v>18</v>
      </c>
      <c r="B10" t="s">
        <v>19</v>
      </c>
      <c r="C10" t="s">
        <v>60</v>
      </c>
      <c r="D10" t="s">
        <v>100</v>
      </c>
      <c r="E10" t="s">
        <v>137</v>
      </c>
      <c r="F10" t="s">
        <v>131</v>
      </c>
      <c r="H10">
        <f t="shared" ref="H10" si="1">LEN(C10)</f>
        <v>39</v>
      </c>
    </row>
    <row r="11" spans="1:8">
      <c r="A11" t="s">
        <v>18</v>
      </c>
      <c r="B11" t="s">
        <v>19</v>
      </c>
      <c r="C11" t="s">
        <v>61</v>
      </c>
      <c r="D11" t="s">
        <v>101</v>
      </c>
      <c r="E11" t="s">
        <v>132</v>
      </c>
      <c r="F11" t="s">
        <v>131</v>
      </c>
      <c r="H11">
        <f t="shared" si="0"/>
        <v>56</v>
      </c>
    </row>
    <row r="12" spans="1:8">
      <c r="A12" t="s">
        <v>18</v>
      </c>
      <c r="B12" t="s">
        <v>19</v>
      </c>
      <c r="C12" t="s">
        <v>62</v>
      </c>
      <c r="D12" t="s">
        <v>154</v>
      </c>
      <c r="E12" t="s">
        <v>132</v>
      </c>
      <c r="F12" t="s">
        <v>131</v>
      </c>
      <c r="H12">
        <f t="shared" si="0"/>
        <v>30</v>
      </c>
    </row>
    <row r="13" spans="1:8">
      <c r="A13" t="s">
        <v>18</v>
      </c>
      <c r="B13" t="s">
        <v>19</v>
      </c>
      <c r="C13" t="s">
        <v>63</v>
      </c>
      <c r="D13" t="s">
        <v>153</v>
      </c>
      <c r="E13" t="s">
        <v>132</v>
      </c>
      <c r="F13" t="s">
        <v>131</v>
      </c>
      <c r="H13">
        <f t="shared" si="0"/>
        <v>64</v>
      </c>
    </row>
    <row r="14" spans="1:8">
      <c r="A14" t="s">
        <v>18</v>
      </c>
      <c r="B14" t="s">
        <v>19</v>
      </c>
      <c r="C14" t="s">
        <v>64</v>
      </c>
      <c r="D14" t="s">
        <v>27</v>
      </c>
      <c r="E14" t="s">
        <v>132</v>
      </c>
      <c r="F14" t="s">
        <v>131</v>
      </c>
      <c r="H14">
        <f t="shared" si="0"/>
        <v>31</v>
      </c>
    </row>
    <row r="15" spans="1:8">
      <c r="A15" t="s">
        <v>18</v>
      </c>
      <c r="B15" t="s">
        <v>19</v>
      </c>
      <c r="C15" t="s">
        <v>65</v>
      </c>
      <c r="D15" t="s">
        <v>28</v>
      </c>
      <c r="E15" t="s">
        <v>132</v>
      </c>
      <c r="F15" t="s">
        <v>131</v>
      </c>
      <c r="H15">
        <f t="shared" si="0"/>
        <v>53</v>
      </c>
    </row>
    <row r="16" spans="1:8">
      <c r="A16" t="s">
        <v>18</v>
      </c>
      <c r="B16" t="s">
        <v>19</v>
      </c>
      <c r="C16" t="s">
        <v>66</v>
      </c>
      <c r="F16" t="s">
        <v>131</v>
      </c>
      <c r="H16">
        <f t="shared" si="0"/>
        <v>63</v>
      </c>
    </row>
    <row r="17" spans="1:8">
      <c r="A17" t="s">
        <v>18</v>
      </c>
      <c r="B17" t="s">
        <v>19</v>
      </c>
      <c r="C17" t="s">
        <v>67</v>
      </c>
      <c r="D17" t="s">
        <v>102</v>
      </c>
      <c r="E17" t="s">
        <v>132</v>
      </c>
      <c r="F17" t="s">
        <v>131</v>
      </c>
      <c r="H17">
        <f t="shared" si="0"/>
        <v>81</v>
      </c>
    </row>
    <row r="18" spans="1:8">
      <c r="A18" t="s">
        <v>18</v>
      </c>
      <c r="B18" t="s">
        <v>19</v>
      </c>
      <c r="C18" t="s">
        <v>68</v>
      </c>
      <c r="D18" t="s">
        <v>103</v>
      </c>
      <c r="E18" t="s">
        <v>132</v>
      </c>
      <c r="F18" t="s">
        <v>131</v>
      </c>
      <c r="H18">
        <f t="shared" si="0"/>
        <v>52</v>
      </c>
    </row>
    <row r="19" spans="1:8">
      <c r="A19" t="s">
        <v>21</v>
      </c>
      <c r="B19" t="s">
        <v>19</v>
      </c>
      <c r="C19" t="s">
        <v>141</v>
      </c>
      <c r="D19" t="s">
        <v>46</v>
      </c>
      <c r="E19" t="s">
        <v>133</v>
      </c>
      <c r="F19" s="1" t="s">
        <v>59</v>
      </c>
      <c r="H19">
        <f t="shared" si="0"/>
        <v>77</v>
      </c>
    </row>
    <row r="20" spans="1:8">
      <c r="A20" t="s">
        <v>21</v>
      </c>
      <c r="B20" t="s">
        <v>20</v>
      </c>
      <c r="C20" t="s">
        <v>141</v>
      </c>
      <c r="D20" t="s">
        <v>46</v>
      </c>
      <c r="E20" t="s">
        <v>133</v>
      </c>
      <c r="F20" s="1" t="s">
        <v>59</v>
      </c>
      <c r="H20">
        <f t="shared" si="0"/>
        <v>77</v>
      </c>
    </row>
    <row r="21" spans="1:8">
      <c r="A21" t="s">
        <v>21</v>
      </c>
      <c r="B21" t="s">
        <v>19</v>
      </c>
      <c r="C21" t="s">
        <v>142</v>
      </c>
      <c r="D21" t="s">
        <v>47</v>
      </c>
      <c r="E21" t="s">
        <v>133</v>
      </c>
      <c r="F21" s="1" t="s">
        <v>59</v>
      </c>
      <c r="H21">
        <f t="shared" si="0"/>
        <v>65</v>
      </c>
    </row>
    <row r="22" spans="1:8">
      <c r="A22" t="s">
        <v>21</v>
      </c>
      <c r="B22" t="s">
        <v>19</v>
      </c>
      <c r="C22" t="s">
        <v>143</v>
      </c>
      <c r="D22" t="s">
        <v>30</v>
      </c>
      <c r="E22" t="s">
        <v>133</v>
      </c>
      <c r="F22" s="1" t="s">
        <v>59</v>
      </c>
      <c r="H22">
        <f t="shared" si="0"/>
        <v>74</v>
      </c>
    </row>
    <row r="23" spans="1:8">
      <c r="A23" t="s">
        <v>21</v>
      </c>
      <c r="B23" t="s">
        <v>19</v>
      </c>
      <c r="C23" t="s">
        <v>144</v>
      </c>
      <c r="F23" s="1" t="s">
        <v>59</v>
      </c>
      <c r="H23">
        <f t="shared" si="0"/>
        <v>70</v>
      </c>
    </row>
    <row r="24" spans="1:8">
      <c r="A24" t="s">
        <v>21</v>
      </c>
      <c r="B24" t="s">
        <v>19</v>
      </c>
      <c r="C24" t="s">
        <v>145</v>
      </c>
      <c r="D24" t="s">
        <v>48</v>
      </c>
      <c r="E24" t="s">
        <v>133</v>
      </c>
      <c r="F24" s="1" t="s">
        <v>59</v>
      </c>
      <c r="H24">
        <f t="shared" si="0"/>
        <v>29</v>
      </c>
    </row>
    <row r="25" spans="1:8">
      <c r="A25" t="s">
        <v>21</v>
      </c>
      <c r="B25" t="s">
        <v>19</v>
      </c>
      <c r="C25" t="s">
        <v>60</v>
      </c>
      <c r="D25" t="s">
        <v>104</v>
      </c>
      <c r="E25" t="s">
        <v>137</v>
      </c>
      <c r="F25" t="s">
        <v>131</v>
      </c>
      <c r="H25">
        <f t="shared" si="0"/>
        <v>39</v>
      </c>
    </row>
    <row r="26" spans="1:8">
      <c r="A26" t="s">
        <v>21</v>
      </c>
      <c r="B26" t="s">
        <v>19</v>
      </c>
      <c r="C26" t="s">
        <v>69</v>
      </c>
      <c r="F26" t="s">
        <v>131</v>
      </c>
      <c r="H26">
        <f t="shared" si="0"/>
        <v>32</v>
      </c>
    </row>
    <row r="27" spans="1:8">
      <c r="A27" t="s">
        <v>21</v>
      </c>
      <c r="B27" t="s">
        <v>19</v>
      </c>
      <c r="C27" t="s">
        <v>70</v>
      </c>
      <c r="D27" t="s">
        <v>105</v>
      </c>
      <c r="E27" t="s">
        <v>133</v>
      </c>
      <c r="F27" t="s">
        <v>131</v>
      </c>
      <c r="H27">
        <f t="shared" si="0"/>
        <v>39</v>
      </c>
    </row>
    <row r="28" spans="1:8">
      <c r="A28" t="s">
        <v>21</v>
      </c>
      <c r="B28" t="s">
        <v>19</v>
      </c>
      <c r="C28" t="s">
        <v>71</v>
      </c>
      <c r="D28" t="s">
        <v>106</v>
      </c>
      <c r="E28" t="s">
        <v>133</v>
      </c>
      <c r="F28" t="s">
        <v>131</v>
      </c>
      <c r="H28">
        <f t="shared" si="0"/>
        <v>44</v>
      </c>
    </row>
    <row r="29" spans="1:8" ht="15" customHeight="1">
      <c r="A29" t="s">
        <v>21</v>
      </c>
      <c r="B29" t="s">
        <v>19</v>
      </c>
      <c r="C29" t="s">
        <v>72</v>
      </c>
      <c r="D29" t="s">
        <v>107</v>
      </c>
      <c r="E29" t="s">
        <v>133</v>
      </c>
      <c r="F29" t="s">
        <v>131</v>
      </c>
      <c r="H29">
        <f t="shared" si="0"/>
        <v>24</v>
      </c>
    </row>
    <row r="30" spans="1:8" ht="17.5" customHeight="1">
      <c r="A30" t="s">
        <v>21</v>
      </c>
      <c r="B30" t="s">
        <v>19</v>
      </c>
      <c r="C30" t="s">
        <v>73</v>
      </c>
      <c r="D30" t="s">
        <v>108</v>
      </c>
      <c r="E30" t="s">
        <v>137</v>
      </c>
      <c r="F30" t="s">
        <v>131</v>
      </c>
      <c r="H30">
        <f t="shared" si="0"/>
        <v>8</v>
      </c>
    </row>
    <row r="31" spans="1:8">
      <c r="A31" t="s">
        <v>21</v>
      </c>
      <c r="B31" t="s">
        <v>19</v>
      </c>
      <c r="C31" t="s">
        <v>74</v>
      </c>
      <c r="D31" t="s">
        <v>109</v>
      </c>
      <c r="E31" t="s">
        <v>133</v>
      </c>
      <c r="F31" t="s">
        <v>131</v>
      </c>
      <c r="H31">
        <f t="shared" si="0"/>
        <v>32</v>
      </c>
    </row>
    <row r="32" spans="1:8">
      <c r="A32" t="s">
        <v>23</v>
      </c>
      <c r="B32" t="s">
        <v>19</v>
      </c>
      <c r="C32" t="s">
        <v>6</v>
      </c>
      <c r="D32" t="s">
        <v>31</v>
      </c>
      <c r="E32" t="s">
        <v>137</v>
      </c>
      <c r="F32" s="1" t="s">
        <v>59</v>
      </c>
      <c r="H32">
        <f t="shared" si="0"/>
        <v>19</v>
      </c>
    </row>
    <row r="33" spans="1:8">
      <c r="A33" t="s">
        <v>23</v>
      </c>
      <c r="B33" t="s">
        <v>19</v>
      </c>
      <c r="C33" t="s">
        <v>10</v>
      </c>
      <c r="F33" s="1" t="s">
        <v>59</v>
      </c>
      <c r="H33">
        <f t="shared" si="0"/>
        <v>22</v>
      </c>
    </row>
    <row r="34" spans="1:8">
      <c r="A34" t="s">
        <v>23</v>
      </c>
      <c r="B34" t="s">
        <v>19</v>
      </c>
      <c r="C34" t="s">
        <v>2</v>
      </c>
      <c r="F34" s="1" t="s">
        <v>59</v>
      </c>
      <c r="H34">
        <f t="shared" si="0"/>
        <v>14</v>
      </c>
    </row>
    <row r="35" spans="1:8">
      <c r="A35" t="s">
        <v>23</v>
      </c>
      <c r="B35" t="s">
        <v>20</v>
      </c>
      <c r="C35" t="s">
        <v>146</v>
      </c>
      <c r="F35" s="1" t="s">
        <v>59</v>
      </c>
      <c r="H35">
        <f t="shared" si="0"/>
        <v>32</v>
      </c>
    </row>
    <row r="36" spans="1:8">
      <c r="A36" t="s">
        <v>23</v>
      </c>
      <c r="B36" t="s">
        <v>20</v>
      </c>
      <c r="C36" t="s">
        <v>6</v>
      </c>
      <c r="D36" t="s">
        <v>31</v>
      </c>
      <c r="E36" t="s">
        <v>137</v>
      </c>
      <c r="F36" s="1" t="s">
        <v>59</v>
      </c>
      <c r="H36">
        <f t="shared" si="0"/>
        <v>19</v>
      </c>
    </row>
    <row r="37" spans="1:8">
      <c r="A37" t="s">
        <v>23</v>
      </c>
      <c r="B37" t="s">
        <v>20</v>
      </c>
      <c r="C37" t="s">
        <v>12</v>
      </c>
      <c r="D37" t="s">
        <v>32</v>
      </c>
      <c r="E37" t="s">
        <v>137</v>
      </c>
      <c r="F37" s="1" t="s">
        <v>59</v>
      </c>
      <c r="H37">
        <f t="shared" si="0"/>
        <v>29</v>
      </c>
    </row>
    <row r="38" spans="1:8">
      <c r="A38" t="s">
        <v>23</v>
      </c>
      <c r="B38" t="s">
        <v>19</v>
      </c>
      <c r="C38" t="s">
        <v>60</v>
      </c>
      <c r="D38" t="s">
        <v>110</v>
      </c>
      <c r="E38" t="s">
        <v>137</v>
      </c>
      <c r="F38" t="s">
        <v>131</v>
      </c>
      <c r="H38">
        <f t="shared" si="0"/>
        <v>39</v>
      </c>
    </row>
    <row r="39" spans="1:8">
      <c r="A39" t="s">
        <v>23</v>
      </c>
      <c r="B39" t="s">
        <v>19</v>
      </c>
      <c r="C39" t="s">
        <v>75</v>
      </c>
      <c r="D39" t="s">
        <v>32</v>
      </c>
      <c r="E39" t="s">
        <v>137</v>
      </c>
      <c r="F39" t="s">
        <v>131</v>
      </c>
      <c r="H39">
        <f t="shared" si="0"/>
        <v>19</v>
      </c>
    </row>
    <row r="40" spans="1:8">
      <c r="A40" t="s">
        <v>23</v>
      </c>
      <c r="B40" t="s">
        <v>19</v>
      </c>
      <c r="C40" t="s">
        <v>76</v>
      </c>
      <c r="D40" t="s">
        <v>111</v>
      </c>
      <c r="E40" t="s">
        <v>137</v>
      </c>
      <c r="F40" t="s">
        <v>131</v>
      </c>
      <c r="H40">
        <f t="shared" si="0"/>
        <v>37</v>
      </c>
    </row>
    <row r="41" spans="1:8">
      <c r="A41" t="s">
        <v>23</v>
      </c>
      <c r="B41" t="s">
        <v>19</v>
      </c>
      <c r="C41" t="s">
        <v>77</v>
      </c>
      <c r="D41" t="s">
        <v>112</v>
      </c>
      <c r="E41" t="s">
        <v>137</v>
      </c>
      <c r="F41" t="s">
        <v>131</v>
      </c>
      <c r="H41">
        <f t="shared" si="0"/>
        <v>43</v>
      </c>
    </row>
    <row r="42" spans="1:8">
      <c r="A42" t="s">
        <v>23</v>
      </c>
      <c r="B42" t="s">
        <v>19</v>
      </c>
      <c r="C42" t="s">
        <v>78</v>
      </c>
      <c r="D42" t="s">
        <v>113</v>
      </c>
      <c r="E42" t="s">
        <v>137</v>
      </c>
      <c r="F42" t="s">
        <v>131</v>
      </c>
      <c r="H42">
        <f t="shared" si="0"/>
        <v>56</v>
      </c>
    </row>
    <row r="43" spans="1:8">
      <c r="A43" t="s">
        <v>23</v>
      </c>
      <c r="B43" t="s">
        <v>19</v>
      </c>
      <c r="C43" t="s">
        <v>79</v>
      </c>
      <c r="D43" t="s">
        <v>114</v>
      </c>
      <c r="E43" t="s">
        <v>137</v>
      </c>
      <c r="F43" t="s">
        <v>131</v>
      </c>
      <c r="H43">
        <f t="shared" si="0"/>
        <v>26</v>
      </c>
    </row>
    <row r="44" spans="1:8">
      <c r="A44" t="s">
        <v>23</v>
      </c>
      <c r="B44" t="s">
        <v>19</v>
      </c>
      <c r="C44" t="s">
        <v>80</v>
      </c>
      <c r="D44" t="s">
        <v>115</v>
      </c>
      <c r="E44" t="s">
        <v>137</v>
      </c>
      <c r="F44" t="s">
        <v>131</v>
      </c>
      <c r="H44">
        <f t="shared" si="0"/>
        <v>35</v>
      </c>
    </row>
    <row r="45" spans="1:8">
      <c r="A45" t="s">
        <v>23</v>
      </c>
      <c r="B45" t="s">
        <v>19</v>
      </c>
      <c r="C45" t="s">
        <v>81</v>
      </c>
      <c r="F45" t="s">
        <v>131</v>
      </c>
      <c r="H45">
        <f t="shared" si="0"/>
        <v>22</v>
      </c>
    </row>
    <row r="46" spans="1:8">
      <c r="A46" t="s">
        <v>24</v>
      </c>
      <c r="B46" t="s">
        <v>19</v>
      </c>
      <c r="C46" t="s">
        <v>147</v>
      </c>
      <c r="D46" t="s">
        <v>33</v>
      </c>
      <c r="E46" t="s">
        <v>135</v>
      </c>
      <c r="F46" s="1" t="s">
        <v>59</v>
      </c>
      <c r="H46">
        <f t="shared" si="0"/>
        <v>93</v>
      </c>
    </row>
    <row r="47" spans="1:8">
      <c r="A47" t="s">
        <v>24</v>
      </c>
      <c r="B47" t="s">
        <v>19</v>
      </c>
      <c r="C47" t="s">
        <v>13</v>
      </c>
      <c r="D47" t="s">
        <v>49</v>
      </c>
      <c r="E47" t="s">
        <v>135</v>
      </c>
      <c r="F47" s="1" t="s">
        <v>59</v>
      </c>
      <c r="H47">
        <f t="shared" si="0"/>
        <v>83</v>
      </c>
    </row>
    <row r="48" spans="1:8">
      <c r="A48" t="s">
        <v>24</v>
      </c>
      <c r="B48" t="s">
        <v>19</v>
      </c>
      <c r="C48" t="s">
        <v>14</v>
      </c>
      <c r="D48" t="s">
        <v>50</v>
      </c>
      <c r="E48" t="s">
        <v>137</v>
      </c>
      <c r="F48" s="1" t="s">
        <v>59</v>
      </c>
      <c r="H48">
        <f t="shared" si="0"/>
        <v>55</v>
      </c>
    </row>
    <row r="49" spans="1:8">
      <c r="A49" t="s">
        <v>24</v>
      </c>
      <c r="B49" t="s">
        <v>19</v>
      </c>
      <c r="C49" t="s">
        <v>15</v>
      </c>
      <c r="D49" t="s">
        <v>34</v>
      </c>
      <c r="E49" t="s">
        <v>135</v>
      </c>
      <c r="F49" s="1" t="s">
        <v>59</v>
      </c>
      <c r="H49">
        <f t="shared" si="0"/>
        <v>53</v>
      </c>
    </row>
    <row r="50" spans="1:8">
      <c r="A50" t="s">
        <v>24</v>
      </c>
      <c r="B50" t="s">
        <v>19</v>
      </c>
      <c r="C50" t="s">
        <v>16</v>
      </c>
      <c r="D50" t="s">
        <v>34</v>
      </c>
      <c r="E50" t="s">
        <v>135</v>
      </c>
      <c r="F50" s="1" t="s">
        <v>59</v>
      </c>
      <c r="H50">
        <f t="shared" si="0"/>
        <v>49</v>
      </c>
    </row>
    <row r="51" spans="1:8">
      <c r="A51" t="s">
        <v>24</v>
      </c>
      <c r="B51" t="s">
        <v>19</v>
      </c>
      <c r="C51" t="s">
        <v>17</v>
      </c>
      <c r="D51" t="s">
        <v>34</v>
      </c>
      <c r="E51" t="s">
        <v>135</v>
      </c>
      <c r="F51" s="1" t="s">
        <v>59</v>
      </c>
      <c r="H51">
        <f t="shared" si="0"/>
        <v>58</v>
      </c>
    </row>
    <row r="52" spans="1:8">
      <c r="A52" t="s">
        <v>24</v>
      </c>
      <c r="B52" t="s">
        <v>22</v>
      </c>
      <c r="C52" t="s">
        <v>148</v>
      </c>
      <c r="D52" t="s">
        <v>51</v>
      </c>
      <c r="E52" t="s">
        <v>135</v>
      </c>
      <c r="F52" s="1" t="s">
        <v>59</v>
      </c>
      <c r="H52">
        <f t="shared" si="0"/>
        <v>62</v>
      </c>
    </row>
    <row r="53" spans="1:8">
      <c r="A53" t="s">
        <v>24</v>
      </c>
      <c r="B53" t="s">
        <v>22</v>
      </c>
      <c r="C53" s="2" t="s">
        <v>138</v>
      </c>
      <c r="D53" t="s">
        <v>52</v>
      </c>
      <c r="E53" t="s">
        <v>135</v>
      </c>
      <c r="F53" s="1" t="s">
        <v>59</v>
      </c>
      <c r="H53">
        <f t="shared" si="0"/>
        <v>116</v>
      </c>
    </row>
    <row r="54" spans="1:8">
      <c r="A54" t="s">
        <v>24</v>
      </c>
      <c r="B54" t="s">
        <v>22</v>
      </c>
      <c r="C54" s="2" t="s">
        <v>149</v>
      </c>
      <c r="D54" t="s">
        <v>53</v>
      </c>
      <c r="E54" t="s">
        <v>135</v>
      </c>
      <c r="F54" s="1" t="s">
        <v>59</v>
      </c>
      <c r="H54">
        <f t="shared" si="0"/>
        <v>97</v>
      </c>
    </row>
    <row r="55" spans="1:8">
      <c r="A55" t="s">
        <v>24</v>
      </c>
      <c r="B55" t="s">
        <v>22</v>
      </c>
      <c r="C55" t="s">
        <v>150</v>
      </c>
      <c r="D55" t="s">
        <v>35</v>
      </c>
      <c r="E55" t="s">
        <v>135</v>
      </c>
      <c r="F55" s="1" t="s">
        <v>59</v>
      </c>
      <c r="H55">
        <f t="shared" si="0"/>
        <v>71</v>
      </c>
    </row>
    <row r="56" spans="1:8">
      <c r="A56" t="s">
        <v>24</v>
      </c>
      <c r="B56" t="s">
        <v>22</v>
      </c>
      <c r="C56" t="s">
        <v>151</v>
      </c>
      <c r="D56" t="s">
        <v>54</v>
      </c>
      <c r="E56" t="s">
        <v>135</v>
      </c>
      <c r="F56" s="1" t="s">
        <v>59</v>
      </c>
      <c r="H56">
        <f t="shared" si="0"/>
        <v>61</v>
      </c>
    </row>
    <row r="57" spans="1:8">
      <c r="A57" t="s">
        <v>24</v>
      </c>
      <c r="B57" t="s">
        <v>22</v>
      </c>
      <c r="C57" t="s">
        <v>152</v>
      </c>
      <c r="D57" t="s">
        <v>54</v>
      </c>
      <c r="E57" t="s">
        <v>135</v>
      </c>
      <c r="F57" s="1" t="s">
        <v>59</v>
      </c>
      <c r="H57">
        <f t="shared" si="0"/>
        <v>76</v>
      </c>
    </row>
    <row r="58" spans="1:8">
      <c r="A58" t="s">
        <v>24</v>
      </c>
      <c r="B58" t="s">
        <v>19</v>
      </c>
      <c r="C58" t="s">
        <v>60</v>
      </c>
      <c r="D58" t="s">
        <v>34</v>
      </c>
      <c r="E58" t="s">
        <v>135</v>
      </c>
      <c r="F58" t="s">
        <v>131</v>
      </c>
      <c r="H58">
        <f t="shared" si="0"/>
        <v>39</v>
      </c>
    </row>
    <row r="59" spans="1:8">
      <c r="A59" t="s">
        <v>24</v>
      </c>
      <c r="B59" t="s">
        <v>19</v>
      </c>
      <c r="C59" t="s">
        <v>82</v>
      </c>
      <c r="D59" t="s">
        <v>116</v>
      </c>
      <c r="E59" t="s">
        <v>135</v>
      </c>
      <c r="F59" t="s">
        <v>131</v>
      </c>
      <c r="H59">
        <f t="shared" si="0"/>
        <v>27</v>
      </c>
    </row>
    <row r="60" spans="1:8">
      <c r="A60" t="s">
        <v>24</v>
      </c>
      <c r="B60" t="s">
        <v>19</v>
      </c>
      <c r="C60" t="s">
        <v>83</v>
      </c>
      <c r="D60" t="s">
        <v>33</v>
      </c>
      <c r="E60" t="s">
        <v>135</v>
      </c>
      <c r="F60" t="s">
        <v>131</v>
      </c>
      <c r="H60">
        <f t="shared" si="0"/>
        <v>38</v>
      </c>
    </row>
    <row r="61" spans="1:8">
      <c r="A61" t="s">
        <v>24</v>
      </c>
      <c r="B61" t="s">
        <v>19</v>
      </c>
      <c r="C61" t="s">
        <v>84</v>
      </c>
      <c r="D61" t="s">
        <v>117</v>
      </c>
      <c r="E61" t="s">
        <v>135</v>
      </c>
      <c r="F61" t="s">
        <v>131</v>
      </c>
      <c r="H61">
        <f t="shared" si="0"/>
        <v>52</v>
      </c>
    </row>
    <row r="62" spans="1:8">
      <c r="A62" t="s">
        <v>24</v>
      </c>
      <c r="B62" t="s">
        <v>19</v>
      </c>
      <c r="C62" t="s">
        <v>85</v>
      </c>
      <c r="D62" t="s">
        <v>118</v>
      </c>
      <c r="E62" t="s">
        <v>135</v>
      </c>
      <c r="F62" t="s">
        <v>131</v>
      </c>
      <c r="H62">
        <f t="shared" si="0"/>
        <v>13</v>
      </c>
    </row>
    <row r="63" spans="1:8">
      <c r="A63" t="s">
        <v>24</v>
      </c>
      <c r="B63" t="s">
        <v>19</v>
      </c>
      <c r="C63" t="s">
        <v>86</v>
      </c>
      <c r="D63" t="s">
        <v>119</v>
      </c>
      <c r="E63" t="s">
        <v>135</v>
      </c>
      <c r="F63" t="s">
        <v>131</v>
      </c>
      <c r="H63">
        <f t="shared" si="0"/>
        <v>49</v>
      </c>
    </row>
    <row r="64" spans="1:8">
      <c r="A64" t="s">
        <v>25</v>
      </c>
      <c r="B64" t="s">
        <v>19</v>
      </c>
      <c r="C64" t="s">
        <v>5</v>
      </c>
      <c r="F64" s="1" t="s">
        <v>59</v>
      </c>
      <c r="H64">
        <f t="shared" si="0"/>
        <v>9</v>
      </c>
    </row>
    <row r="65" spans="1:8">
      <c r="A65" t="s">
        <v>25</v>
      </c>
      <c r="B65" t="s">
        <v>19</v>
      </c>
      <c r="C65" t="s">
        <v>87</v>
      </c>
      <c r="D65" t="s">
        <v>120</v>
      </c>
      <c r="E65" t="s">
        <v>134</v>
      </c>
      <c r="F65" t="s">
        <v>131</v>
      </c>
      <c r="H65">
        <f t="shared" ref="H65:H80" si="2">LEN(C65)</f>
        <v>44</v>
      </c>
    </row>
    <row r="66" spans="1:8">
      <c r="A66" t="s">
        <v>25</v>
      </c>
      <c r="B66" t="s">
        <v>19</v>
      </c>
      <c r="C66" t="s">
        <v>88</v>
      </c>
      <c r="D66" t="s">
        <v>120</v>
      </c>
      <c r="E66" t="s">
        <v>134</v>
      </c>
      <c r="F66" t="s">
        <v>131</v>
      </c>
      <c r="H66">
        <f t="shared" si="2"/>
        <v>25</v>
      </c>
    </row>
    <row r="67" spans="1:8">
      <c r="A67" t="s">
        <v>25</v>
      </c>
      <c r="B67" t="s">
        <v>19</v>
      </c>
      <c r="C67" t="s">
        <v>89</v>
      </c>
      <c r="D67" t="s">
        <v>121</v>
      </c>
      <c r="E67" t="s">
        <v>134</v>
      </c>
      <c r="F67" t="s">
        <v>131</v>
      </c>
      <c r="H67">
        <f t="shared" si="2"/>
        <v>34</v>
      </c>
    </row>
    <row r="68" spans="1:8">
      <c r="A68" t="s">
        <v>25</v>
      </c>
      <c r="B68" t="s">
        <v>19</v>
      </c>
      <c r="C68" t="s">
        <v>90</v>
      </c>
      <c r="D68" t="s">
        <v>122</v>
      </c>
      <c r="E68" t="s">
        <v>134</v>
      </c>
      <c r="F68" t="s">
        <v>131</v>
      </c>
      <c r="H68">
        <f t="shared" si="2"/>
        <v>36</v>
      </c>
    </row>
    <row r="69" spans="1:8">
      <c r="A69" t="s">
        <v>25</v>
      </c>
      <c r="B69" t="s">
        <v>19</v>
      </c>
      <c r="C69" t="s">
        <v>91</v>
      </c>
      <c r="D69" t="s">
        <v>120</v>
      </c>
      <c r="E69" t="s">
        <v>134</v>
      </c>
      <c r="F69" t="s">
        <v>131</v>
      </c>
      <c r="H69">
        <f t="shared" si="2"/>
        <v>29</v>
      </c>
    </row>
    <row r="70" spans="1:8">
      <c r="A70" t="s">
        <v>26</v>
      </c>
      <c r="B70" t="s">
        <v>19</v>
      </c>
      <c r="C70" t="s">
        <v>9</v>
      </c>
      <c r="D70" t="s">
        <v>36</v>
      </c>
      <c r="E70" t="s">
        <v>136</v>
      </c>
      <c r="F70" s="1" t="s">
        <v>59</v>
      </c>
      <c r="H70">
        <f t="shared" si="2"/>
        <v>32</v>
      </c>
    </row>
    <row r="71" spans="1:8">
      <c r="A71" t="s">
        <v>26</v>
      </c>
      <c r="B71" t="s">
        <v>19</v>
      </c>
      <c r="C71" t="s">
        <v>8</v>
      </c>
      <c r="D71" t="s">
        <v>37</v>
      </c>
      <c r="E71" t="s">
        <v>136</v>
      </c>
      <c r="F71" s="1" t="s">
        <v>59</v>
      </c>
      <c r="H71">
        <f t="shared" si="2"/>
        <v>16</v>
      </c>
    </row>
    <row r="72" spans="1:8">
      <c r="A72" t="s">
        <v>26</v>
      </c>
      <c r="B72" t="s">
        <v>22</v>
      </c>
      <c r="C72" t="s">
        <v>7</v>
      </c>
      <c r="D72" t="s">
        <v>55</v>
      </c>
      <c r="E72" t="s">
        <v>136</v>
      </c>
      <c r="F72" s="1" t="s">
        <v>59</v>
      </c>
      <c r="H72">
        <f t="shared" si="2"/>
        <v>9</v>
      </c>
    </row>
    <row r="73" spans="1:8">
      <c r="A73" t="s">
        <v>26</v>
      </c>
      <c r="B73" t="s">
        <v>19</v>
      </c>
      <c r="C73" t="s">
        <v>92</v>
      </c>
      <c r="D73" t="s">
        <v>123</v>
      </c>
      <c r="E73" t="s">
        <v>136</v>
      </c>
      <c r="F73" t="s">
        <v>131</v>
      </c>
      <c r="H73">
        <f t="shared" si="2"/>
        <v>61</v>
      </c>
    </row>
    <row r="74" spans="1:8">
      <c r="A74" t="s">
        <v>26</v>
      </c>
      <c r="B74" t="s">
        <v>19</v>
      </c>
      <c r="C74" t="s">
        <v>93</v>
      </c>
      <c r="D74" t="s">
        <v>124</v>
      </c>
      <c r="E74" t="s">
        <v>136</v>
      </c>
      <c r="F74" t="s">
        <v>131</v>
      </c>
      <c r="H74">
        <f t="shared" si="2"/>
        <v>37</v>
      </c>
    </row>
    <row r="75" spans="1:8">
      <c r="A75" t="s">
        <v>26</v>
      </c>
      <c r="B75" t="s">
        <v>19</v>
      </c>
      <c r="C75" t="s">
        <v>94</v>
      </c>
      <c r="D75" t="s">
        <v>125</v>
      </c>
      <c r="E75" t="s">
        <v>136</v>
      </c>
      <c r="F75" t="s">
        <v>131</v>
      </c>
      <c r="H75">
        <f t="shared" si="2"/>
        <v>21</v>
      </c>
    </row>
    <row r="76" spans="1:8">
      <c r="A76" t="s">
        <v>26</v>
      </c>
      <c r="B76" t="s">
        <v>19</v>
      </c>
      <c r="C76" t="s">
        <v>95</v>
      </c>
      <c r="D76" t="s">
        <v>126</v>
      </c>
      <c r="E76" t="s">
        <v>136</v>
      </c>
      <c r="F76" t="s">
        <v>131</v>
      </c>
      <c r="H76">
        <f t="shared" si="2"/>
        <v>24</v>
      </c>
    </row>
    <row r="77" spans="1:8">
      <c r="A77" t="s">
        <v>26</v>
      </c>
      <c r="B77" t="s">
        <v>19</v>
      </c>
      <c r="C77" t="s">
        <v>96</v>
      </c>
      <c r="D77" t="s">
        <v>127</v>
      </c>
      <c r="E77" t="s">
        <v>136</v>
      </c>
      <c r="F77" t="s">
        <v>131</v>
      </c>
      <c r="H77">
        <f t="shared" si="2"/>
        <v>11</v>
      </c>
    </row>
    <row r="78" spans="1:8">
      <c r="A78" t="s">
        <v>26</v>
      </c>
      <c r="B78" t="s">
        <v>19</v>
      </c>
      <c r="C78" t="s">
        <v>97</v>
      </c>
      <c r="D78" t="s">
        <v>128</v>
      </c>
      <c r="E78" t="s">
        <v>136</v>
      </c>
      <c r="F78" t="s">
        <v>131</v>
      </c>
      <c r="H78">
        <f t="shared" si="2"/>
        <v>41</v>
      </c>
    </row>
    <row r="79" spans="1:8">
      <c r="A79" t="s">
        <v>26</v>
      </c>
      <c r="B79" t="s">
        <v>19</v>
      </c>
      <c r="C79" t="s">
        <v>98</v>
      </c>
      <c r="D79" t="s">
        <v>129</v>
      </c>
      <c r="E79" t="s">
        <v>136</v>
      </c>
      <c r="F79" t="s">
        <v>131</v>
      </c>
      <c r="H79">
        <f t="shared" si="2"/>
        <v>68</v>
      </c>
    </row>
    <row r="80" spans="1:8">
      <c r="A80" t="s">
        <v>26</v>
      </c>
      <c r="B80" t="s">
        <v>19</v>
      </c>
      <c r="C80" t="s">
        <v>99</v>
      </c>
      <c r="D80" t="s">
        <v>130</v>
      </c>
      <c r="E80" t="s">
        <v>136</v>
      </c>
      <c r="F80" t="s">
        <v>131</v>
      </c>
      <c r="H80">
        <f t="shared" si="2"/>
        <v>46</v>
      </c>
    </row>
  </sheetData>
  <autoFilter ref="A1:F80" xr:uid="{A7C53CE1-AB1B-4F69-8A65-C29313BFC2AD}">
    <sortState xmlns:xlrd2="http://schemas.microsoft.com/office/spreadsheetml/2017/richdata2" ref="A2:F80">
      <sortCondition ref="A1:A80"/>
    </sortState>
  </autoFilter>
  <hyperlinks>
    <hyperlink ref="D2" r:id="rId1" xr:uid="{FA16102E-24DC-48CF-AC71-D68C5E17A565}"/>
    <hyperlink ref="D3" r:id="rId2" xr:uid="{F04BE974-3F1B-4744-A8FA-D6E3C80DFA8A}"/>
    <hyperlink ref="D4" r:id="rId3" xr:uid="{790637A4-4CFB-40EF-B8AB-A498D07FD70F}"/>
    <hyperlink ref="D5" r:id="rId4" xr:uid="{7CA7B8EE-47B0-40A2-99C4-1F791A30C45D}"/>
    <hyperlink ref="D6" r:id="rId5" xr:uid="{FC258615-77DC-4B48-8F64-36753E60105E}"/>
    <hyperlink ref="D7" r:id="rId6" xr:uid="{FD7B5D66-ED3B-4DC8-AF7D-320FB8B8DCF0}"/>
    <hyperlink ref="D8" r:id="rId7" xr:uid="{014A4358-20DF-4B5F-AE9F-C26FE89E87A9}"/>
    <hyperlink ref="D9" r:id="rId8" xr:uid="{2BBA6949-C4A4-42E3-BEA4-ABD14D852388}"/>
    <hyperlink ref="D20" r:id="rId9" xr:uid="{97BAEC4D-7419-45F2-8D16-CB115B0CB032}"/>
    <hyperlink ref="D32" r:id="rId10" xr:uid="{BA89AC2D-6F7A-4FD2-976D-42C1F35A4FE6}"/>
    <hyperlink ref="D36" r:id="rId11" xr:uid="{D991AF5E-1724-496F-8731-5209CC5CB261}"/>
    <hyperlink ref="D37" r:id="rId12" xr:uid="{A894FC6B-F122-4CF3-86DC-BDCA0737F2B0}"/>
    <hyperlink ref="D46" r:id="rId13" xr:uid="{E1DEE2A9-7080-48F2-8499-B3F200C5E387}"/>
    <hyperlink ref="D47" r:id="rId14" xr:uid="{4E433208-4F67-4949-9BF2-FDBDA35728D4}"/>
    <hyperlink ref="D48" r:id="rId15" xr:uid="{0DC7D7A9-9ABA-421C-8ACB-61E96F26C589}"/>
    <hyperlink ref="D49" r:id="rId16" xr:uid="{FFEF1E00-7C49-412F-9191-A6E2D4FD22A9}"/>
    <hyperlink ref="D50" r:id="rId17" xr:uid="{BD4B5AA3-6373-4484-9CC8-2794F6CED241}"/>
    <hyperlink ref="D51" r:id="rId18" xr:uid="{8B6E0311-A3FD-4221-B3EE-18443B4F4070}"/>
    <hyperlink ref="D52" r:id="rId19" xr:uid="{05F631B4-D997-4A49-A861-D5119FCEBA08}"/>
    <hyperlink ref="D53" r:id="rId20" xr:uid="{197D6BD6-6D24-433F-B21E-D04EE9054948}"/>
    <hyperlink ref="D54" r:id="rId21" xr:uid="{72F68369-A900-4BD1-8990-8564783A8C3C}"/>
    <hyperlink ref="D55" r:id="rId22" xr:uid="{69CD499B-1F3C-4502-99D0-575B484A534B}"/>
    <hyperlink ref="D56" r:id="rId23" xr:uid="{6F2DAF87-0E2E-4FDB-84E9-CFDE14FFBFFF}"/>
    <hyperlink ref="D57" r:id="rId24" xr:uid="{2CCAC871-D236-408B-B9FA-D2EB1D5E0C40}"/>
    <hyperlink ref="D70" r:id="rId25" xr:uid="{F1AFAC85-C328-421F-B5C4-2A236B4C7B84}"/>
    <hyperlink ref="D71" r:id="rId26" xr:uid="{2929F43F-FF43-4F43-966D-B25524FC9841}"/>
    <hyperlink ref="D72" r:id="rId27" xr:uid="{0D6A551E-F4F1-4374-9482-B1FB082B2BB4}"/>
    <hyperlink ref="D10" r:id="rId28" xr:uid="{2756696F-298F-48A9-A14D-59F28D76A4B3}"/>
    <hyperlink ref="D11" r:id="rId29" xr:uid="{DFA6C174-E909-4E02-97D7-ECF69BCEDC04}"/>
    <hyperlink ref="D14" r:id="rId30" xr:uid="{94B7F12E-4A8A-4908-B754-CD6440105814}"/>
    <hyperlink ref="D15" r:id="rId31" xr:uid="{D37203B1-3467-4791-97C1-D5FA4916FA26}"/>
    <hyperlink ref="D17" r:id="rId32" xr:uid="{6223FD59-6F2A-4FD8-B03E-F896BAFD2C13}"/>
    <hyperlink ref="D18" r:id="rId33" xr:uid="{88661935-A581-4BF7-890D-E123AA21750F}"/>
    <hyperlink ref="D25" r:id="rId34" xr:uid="{C93170FF-369B-4F8C-9D4F-3DB5C4DFF48A}"/>
    <hyperlink ref="D27" r:id="rId35" xr:uid="{8A27131A-644F-48E1-9CB2-A067DA0D2C07}"/>
    <hyperlink ref="D28" r:id="rId36" xr:uid="{65F1E7A9-ABA4-4FA3-8EC1-C5D350DE5FC7}"/>
    <hyperlink ref="D29" r:id="rId37" xr:uid="{A1B0C38E-8D5F-4F6A-BE8A-B3A5C46C63F4}"/>
    <hyperlink ref="D30" r:id="rId38" xr:uid="{4E616770-2491-4BA8-8304-F1402698BAA5}"/>
    <hyperlink ref="D31" r:id="rId39" xr:uid="{3499484E-3B42-45C9-8CFD-55B5209AAEFB}"/>
    <hyperlink ref="D38" r:id="rId40" xr:uid="{9587478C-75BB-4F66-AD7C-259631A01D5C}"/>
    <hyperlink ref="D39" r:id="rId41" xr:uid="{9DB31D3B-4EF9-4EE0-8C38-17699E60A181}"/>
    <hyperlink ref="D40" r:id="rId42" xr:uid="{B579180D-B0D5-4902-AC7E-5AAE895B8E58}"/>
    <hyperlink ref="D41" r:id="rId43" xr:uid="{5EDACE02-0B6F-4168-B759-B80CD83049AF}"/>
    <hyperlink ref="D42" r:id="rId44" xr:uid="{384922C9-A261-4069-8457-03FCDDC44FA2}"/>
    <hyperlink ref="D43" r:id="rId45" xr:uid="{927A1F11-1DBA-4D32-96EE-DEA5B84C9A5D}"/>
    <hyperlink ref="D44" r:id="rId46" xr:uid="{5D0D0DB8-AD46-4986-9B98-EAFB83433CDE}"/>
    <hyperlink ref="D58" r:id="rId47" xr:uid="{37BC9865-D94E-40FA-8D37-2EFA79072828}"/>
    <hyperlink ref="D59" r:id="rId48" xr:uid="{913102AD-B2A9-4932-AC1D-9F71D34FBB0E}"/>
    <hyperlink ref="D60" r:id="rId49" xr:uid="{D1CC8E83-9106-4779-B44D-BB84D924B760}"/>
    <hyperlink ref="D61" r:id="rId50" xr:uid="{8844F135-685E-44D1-9D60-7468AD8DB244}"/>
    <hyperlink ref="D62" r:id="rId51" xr:uid="{7B93DFA0-0E83-439A-BD2A-1414A9F63FCC}"/>
    <hyperlink ref="D63" r:id="rId52" xr:uid="{89BFE053-4D54-4309-872E-5BEC8034683F}"/>
    <hyperlink ref="D65" r:id="rId53" xr:uid="{D435E386-9058-438B-BA38-2873D56361D3}"/>
    <hyperlink ref="D66" r:id="rId54" xr:uid="{9C4D4F21-640D-4DC9-952F-49248A1DBB25}"/>
    <hyperlink ref="D67" r:id="rId55" xr:uid="{D36E8947-16AE-4484-9C63-D3E87960D04A}"/>
    <hyperlink ref="D68" r:id="rId56" xr:uid="{F18510CB-AFA0-4AF6-8336-235F88E914E9}"/>
    <hyperlink ref="D69" r:id="rId57" xr:uid="{7BD00D44-3373-4BFB-BFAC-64857BD433BB}"/>
    <hyperlink ref="D73" r:id="rId58" xr:uid="{86A4FAB7-787E-49CA-A931-19A0CBAF06A8}"/>
    <hyperlink ref="D74" r:id="rId59" xr:uid="{3AAE6721-3155-45D9-8E86-006C9F2E7837}"/>
    <hyperlink ref="D75" r:id="rId60" xr:uid="{E33DAA04-E7BD-4CA8-8C7A-38532E177F9A}"/>
    <hyperlink ref="D76" r:id="rId61" xr:uid="{5C3E49A6-5C26-4786-9FAB-879E0846C84D}"/>
    <hyperlink ref="D77" r:id="rId62" xr:uid="{18540A14-49D4-4368-B1B7-DB16D1659669}"/>
    <hyperlink ref="D78" r:id="rId63" xr:uid="{D0654701-E81D-454A-B6FF-255E627E169D}"/>
    <hyperlink ref="D79" r:id="rId64" xr:uid="{2345F39C-F6B3-4540-900C-5E8B6C7D2510}"/>
    <hyperlink ref="D80" r:id="rId65" xr:uid="{782EEC21-1F26-48AE-83A1-75F8799B7570}"/>
    <hyperlink ref="D22" r:id="rId66" xr:uid="{75903415-E398-48EF-85AA-576F7EFD4BFD}"/>
    <hyperlink ref="D21" r:id="rId67" xr:uid="{4A12E92D-D5E7-4C58-832D-CEA3CB8B359C}"/>
    <hyperlink ref="D24" r:id="rId68" xr:uid="{B68D5E7F-5EE4-493D-980F-0F27D52CCD80}"/>
    <hyperlink ref="D19" r:id="rId69" xr:uid="{E324A0A9-1119-4732-BCBF-35505542BD54}"/>
  </hyperlinks>
  <pageMargins left="0.7" right="0.7" top="0.75" bottom="0.75" header="0.3" footer="0.3"/>
  <legacyDrawing r:id="rId7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 Kumar</dc:creator>
  <cp:lastModifiedBy>Pradeep Kumar</cp:lastModifiedBy>
  <dcterms:created xsi:type="dcterms:W3CDTF">2026-09-29T04:09:03Z</dcterms:created>
  <dcterms:modified xsi:type="dcterms:W3CDTF">2026-10-15T16:58:53Z</dcterms:modified>
</cp:coreProperties>
</file>